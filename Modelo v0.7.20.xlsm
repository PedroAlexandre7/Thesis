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dro\Documents\Documents - Pessoal\Estudo\Universidade\Tese\"/>
    </mc:Choice>
  </mc:AlternateContent>
  <xr:revisionPtr revIDLastSave="0" documentId="13_ncr:1_{96555D2C-B6B4-4453-8B79-AF3769E2EDB8}" xr6:coauthVersionLast="47" xr6:coauthVersionMax="47" xr10:uidLastSave="{00000000-0000-0000-0000-000000000000}"/>
  <bookViews>
    <workbookView xWindow="-120" yWindow="-120" windowWidth="29040" windowHeight="17520" tabRatio="963" firstSheet="10" activeTab="21" xr2:uid="{E98B6E95-BDA6-40BD-9A65-9CAB7640C8E5}"/>
  </bookViews>
  <sheets>
    <sheet name="Cover" sheetId="17" r:id="rId1"/>
    <sheet name="User Guide" sheetId="19" r:id="rId2"/>
    <sheet name="Configurator &gt;&gt;" sheetId="11" r:id="rId3"/>
    <sheet name="Model Configurator" sheetId="10" r:id="rId4"/>
    <sheet name="Model Configurator Sup" sheetId="9" state="hidden" r:id="rId5"/>
    <sheet name="Inputs 1 &gt;&gt;" sheetId="6" r:id="rId6"/>
    <sheet name="Study Years" sheetId="23" r:id="rId7"/>
    <sheet name="Regions" sheetId="1" r:id="rId8"/>
    <sheet name="Verticals_Sectors" sheetId="7" r:id="rId9"/>
    <sheet name="Network Parameters" sheetId="8" r:id="rId10"/>
    <sheet name="Base Stations Sites" sheetId="21" r:id="rId11"/>
    <sheet name="Inputs 2 &gt;&gt;" sheetId="61" r:id="rId12"/>
    <sheet name="Base Stations Profiles" sheetId="54" r:id="rId13"/>
    <sheet name="Throughput Formulas" sheetId="22" r:id="rId14"/>
    <sheet name="Base Stations Parameters" sheetId="60" r:id="rId15"/>
    <sheet name="Sites per Region" sheetId="70" r:id="rId16"/>
    <sheet name="Inputs 3 &gt;&gt;" sheetId="68" r:id="rId17"/>
    <sheet name="Troughput" sheetId="2" r:id="rId18"/>
    <sheet name="Inputs 4 &gt;&gt;" sheetId="69" r:id="rId19"/>
    <sheet name="Output Formulas" sheetId="66" r:id="rId20"/>
    <sheet name="Outputs &gt;&gt;" sheetId="12" r:id="rId21"/>
    <sheet name="Model Output" sheetId="32" r:id="rId22"/>
    <sheet name="Cost " sheetId="26" state="hidden" r:id="rId23"/>
  </sheets>
  <functionGroups builtInGroupCount="19"/>
  <definedNames>
    <definedName name="_xleta.AND" hidden="1" xlm="1">#NAME?</definedName>
    <definedName name="_xleta.COLUMN" hidden="1" xlm="1">#NAME?</definedName>
    <definedName name="_xleta.DROP" hidden="1" xlm="1">#NAME?</definedName>
    <definedName name="_xleta.INDIRECT" hidden="1" xlm="1">#NAME?</definedName>
    <definedName name="_xleta.MATCH" hidden="1" xlm="1">#NAME?</definedName>
    <definedName name="_xleta.ROW" hidden="1" xlm="1">#NAME?</definedName>
    <definedName name="_xleta.SUM" hidden="1" xlm="1">#NAME?</definedName>
    <definedName name="_xleta.VLOOKUP" hidden="1" xlm="1">#NAME?</definedName>
    <definedName name="_xlpm.alPos" hidden="1" xlm="1">#NAME?</definedName>
    <definedName name="_xlpm.col" hidden="1" xlm="1">#NAME?</definedName>
    <definedName name="_xlpm.cola" hidden="1" xlm="1">#NAME?</definedName>
    <definedName name="_xlpm.colarget" hidden="1" xlm="1">#NAME?</definedName>
    <definedName name="_xlpm.colau" hidden="1" xlm="1">#NAME?</definedName>
    <definedName name="_xlpm.colaut" hidden="1" xlm="1">#NAME?</definedName>
    <definedName name="_xlpm.colauto" hidden="1" xlm="1">#NAME?</definedName>
    <definedName name="_xlpm.colB" hidden="1" xlm="1">#NAME?</definedName>
    <definedName name="_xlpm.colC" hidden="1" xlm="1">#NAME?</definedName>
    <definedName name="_xlpm.colD" hidden="1" xlm="1">#NAME?</definedName>
    <definedName name="_xlpm.colDa" hidden="1" xlm="1">#NAME?</definedName>
    <definedName name="_xlpm.colDat" hidden="1" xlm="1">#NAME?</definedName>
    <definedName name="_xlpm.colData" hidden="1" xlm="1">#NAME?</definedName>
    <definedName name="_xlpm.colet" hidden="1" xlm="1">#NAME?</definedName>
    <definedName name="_xlpm.colget" hidden="1" xlm="1">#NAME?</definedName>
    <definedName name="_xlpm.colO" hidden="1" xlm="1">#NAME?</definedName>
    <definedName name="_xlpm.colP" hidden="1" xlm="1">#NAME?</definedName>
    <definedName name="_xlpm.colQ" hidden="1" xlm="1">#NAME?</definedName>
    <definedName name="_xlpm.colR" hidden="1" xlm="1">#NAME?</definedName>
    <definedName name="_xlpm.colrget" hidden="1" xlm="1">#NAME?</definedName>
    <definedName name="_xlpm.colS" hidden="1" xlm="1">#NAME?</definedName>
    <definedName name="_xlpm.colSi" hidden="1" xlm="1">#NAME?</definedName>
    <definedName name="_xlpm.colSit" hidden="1" xlm="1">#NAME?</definedName>
    <definedName name="_xlpm.colSite" hidden="1" xlm="1">#NAME?</definedName>
    <definedName name="_xlpm.colSo" hidden="1" xlm="1">#NAME?</definedName>
    <definedName name="_xlpm.colSot" hidden="1" xlm="1">#NAME?</definedName>
    <definedName name="_xlpm.colT" hidden="1" xlm="1">#NAME?</definedName>
    <definedName name="_xlpm.colTa" hidden="1" xlm="1">#NAME?</definedName>
    <definedName name="_xlpm.colTar" hidden="1" xlm="1">#NAME?</definedName>
    <definedName name="_xlpm.colTarg" hidden="1" xlm="1">#NAME?</definedName>
    <definedName name="_xlpm.colTarge" hidden="1" xlm="1">#NAME?</definedName>
    <definedName name="_xlpm.colTarget" hidden="1" xlm="1">#NAME?</definedName>
    <definedName name="_xlpm.colUnit" hidden="1" xlm="1">#NAME?</definedName>
    <definedName name="_xlpm.data" hidden="1" xlm="1">#NAME?</definedName>
    <definedName name="_xlpm.lPos" hidden="1" xlm="1">#NAME?</definedName>
    <definedName name="_xlpm.os" hidden="1" xlm="1">#NAME?</definedName>
    <definedName name="_xlpm.otalPos" hidden="1" xlm="1">#NAME?</definedName>
    <definedName name="_xlpm.ow" hidden="1" xlm="1">#NAME?</definedName>
    <definedName name="_xlpm.Pos" hidden="1" xlm="1">#NAME?</definedName>
    <definedName name="_xlpm.row" hidden="1" xlm="1">#NAME?</definedName>
    <definedName name="_xlpm.rowear" hidden="1" xlm="1">#NAME?</definedName>
    <definedName name="_xlpm.rowR" hidden="1" xlm="1">#NAME?</definedName>
    <definedName name="_xlpm.rowRe" hidden="1" xlm="1">#NAME?</definedName>
    <definedName name="_xlpm.rowReg" hidden="1" xlm="1">#NAME?</definedName>
    <definedName name="_xlpm.rowRegi" hidden="1" xlm="1">#NAME?</definedName>
    <definedName name="_xlpm.rowRegio" hidden="1" xlm="1">#NAME?</definedName>
    <definedName name="_xlpm.rowRegion" hidden="1" xlm="1">#NAME?</definedName>
    <definedName name="_xlpm.rowT" hidden="1" xlm="1">#NAME?</definedName>
    <definedName name="_xlpm.rowTh" hidden="1" xlm="1">#NAME?</definedName>
    <definedName name="_xlpm.rowThr" hidden="1" xlm="1">#NAME?</definedName>
    <definedName name="_xlpm.rowThro" hidden="1" xlm="1">#NAME?</definedName>
    <definedName name="_xlpm.rowThrou" hidden="1" xlm="1">#NAME?</definedName>
    <definedName name="_xlpm.rowThroug" hidden="1" xlm="1">#NAME?</definedName>
    <definedName name="_xlpm.rowThroughput" hidden="1" xlm="1">#NAME?</definedName>
    <definedName name="_xlpm.rowThrougp" hidden="1" xlm="1">#NAME?</definedName>
    <definedName name="_xlpm.rowThrougpu" hidden="1" xlm="1">#NAME?</definedName>
    <definedName name="_xlpm.rowThrougput" hidden="1" xlm="1">#NAME?</definedName>
    <definedName name="_xlpm.rowU" hidden="1" xlm="1">#NAME?</definedName>
    <definedName name="_xlpm.rowUn" hidden="1" xlm="1">#NAME?</definedName>
    <definedName name="_xlpm.rowUni" hidden="1" xlm="1">#NAME?</definedName>
    <definedName name="_xlpm.rowUnit" hidden="1" xlm="1">#NAME?</definedName>
    <definedName name="_xlpm.rowUs" hidden="1" xlm="1">#NAME?</definedName>
    <definedName name="_xlpm.rowUse" hidden="1" xlm="1">#NAME?</definedName>
    <definedName name="_xlpm.rowUser" hidden="1" xlm="1">#NAME?</definedName>
    <definedName name="_xlpm.rowy" hidden="1" xlm="1">#NAME?</definedName>
    <definedName name="_xlpm.rowye" hidden="1" xlm="1">#NAME?</definedName>
    <definedName name="_xlpm.rowyea" hidden="1" xlm="1">#NAME?</definedName>
    <definedName name="_xlpm.rowyear" hidden="1" xlm="1">#NAME?</definedName>
    <definedName name="_xlpm.rowYears" hidden="1" xlm="1">#NAME?</definedName>
    <definedName name="_xlpm.s" hidden="1" xlm="1">#NAME?</definedName>
    <definedName name="_xlpm.startCol" hidden="1" xlm="1">#NAME?</definedName>
    <definedName name="_xlpm.startRow" hidden="1" xlm="1">#NAME?</definedName>
    <definedName name="_xlpm.talPos" hidden="1" xlm="1">#NAME?</definedName>
    <definedName name="_xlpm.totalPos" hidden="1" xlm="1">#NAME?</definedName>
    <definedName name="_xlpm.totalRoPos" hidden="1" xlm="1">#NAME?</definedName>
    <definedName name="_xlpm.totalRowPos" hidden="1" xlm="1">#NAME?</definedName>
    <definedName name="_xlpm.totalRPos" hidden="1" xlm="1">#NAME?</definedName>
    <definedName name="_xlpm.uniRow" hidden="1" xlm="1">#NAME?</definedName>
    <definedName name="_xlpm.unitRow" hidden="1" xlm="1">#NAME?</definedName>
    <definedName name="_xlpm.unRow" hidden="1" xlm="1">#NAME?</definedName>
    <definedName name="_xlpm.uRow" hidden="1" xlm="1">#NAME?</definedName>
    <definedName name="_xlpm.userRow" hidden="1" xlm="1">#NAME?</definedName>
    <definedName name="_xlpm.yearRow" hidden="1" xlm="1">#NAME?</definedName>
    <definedName name="Auto_or_Manual" localSheetId="16">Option_Auto[]</definedName>
    <definedName name="Auto_or_Manual" localSheetId="18">Option_Auto[]</definedName>
    <definedName name="Auto_or_Manual">Option_Auto[]</definedName>
    <definedName name="Checkbox" localSheetId="11">Boolean[]</definedName>
    <definedName name="Checkbox" localSheetId="16">Boolean[]</definedName>
    <definedName name="Checkbox" localSheetId="18">Boolean[]</definedName>
    <definedName name="Checkbox">Boolean[]</definedName>
    <definedName name="ClearDataOptions" localSheetId="11">Clear_Data_Options[]</definedName>
    <definedName name="ClearDataOptions" localSheetId="16">Clear_Data_Options[]</definedName>
    <definedName name="ClearDataOptions" localSheetId="18">Clear_Data_Options[]</definedName>
    <definedName name="ClearDataOptions">Clear_Data_Options[]</definedName>
    <definedName name="InstrTypes" localSheetId="11">Instructions_Types[]</definedName>
    <definedName name="InstrTypes" localSheetId="16">Instructions_Types[]</definedName>
    <definedName name="InstrTypes" localSheetId="18">Instructions_Types[]</definedName>
    <definedName name="InstrTypes">Instructions_Types[]</definedName>
    <definedName name="SheetList" localSheetId="11">Table_SheetList[]</definedName>
    <definedName name="SheetList" localSheetId="16">Table_SheetList[]</definedName>
    <definedName name="SheetList" localSheetId="18">Table_SheetList[]</definedName>
    <definedName name="SheetList">Table_SheetList[]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96" i="32" l="1"/>
  <c r="AP195" i="32"/>
  <c r="AM195" i="32"/>
  <c r="AL195" i="32"/>
  <c r="AK195" i="32"/>
  <c r="AP194" i="32"/>
  <c r="AM194" i="32"/>
  <c r="AL194" i="32"/>
  <c r="AK194" i="32"/>
  <c r="AP193" i="32"/>
  <c r="AM193" i="32"/>
  <c r="AL193" i="32"/>
  <c r="AK193" i="32"/>
  <c r="AP192" i="32"/>
  <c r="AM192" i="32"/>
  <c r="AL192" i="32"/>
  <c r="AK192" i="32"/>
  <c r="AP191" i="32"/>
  <c r="AM191" i="32"/>
  <c r="AL191" i="32"/>
  <c r="AK191" i="32"/>
  <c r="AP190" i="32"/>
  <c r="AM190" i="32"/>
  <c r="AL190" i="32"/>
  <c r="AK190" i="32"/>
  <c r="AP189" i="32"/>
  <c r="AM189" i="32"/>
  <c r="AL189" i="32"/>
  <c r="AK189" i="32"/>
  <c r="AP188" i="32"/>
  <c r="AM188" i="32"/>
  <c r="AL188" i="32"/>
  <c r="AK188" i="32"/>
  <c r="AP187" i="32"/>
  <c r="AM187" i="32"/>
  <c r="AL187" i="32"/>
  <c r="AK187" i="32"/>
  <c r="AP186" i="32"/>
  <c r="AM186" i="32"/>
  <c r="AL186" i="32"/>
  <c r="AK186" i="32"/>
  <c r="AP185" i="32"/>
  <c r="AM185" i="32"/>
  <c r="AL185" i="32"/>
  <c r="AK185" i="32"/>
  <c r="AP184" i="32"/>
  <c r="AM184" i="32"/>
  <c r="AL184" i="32"/>
  <c r="AK184" i="32"/>
  <c r="AH177" i="32"/>
  <c r="AP176" i="32"/>
  <c r="AM176" i="32"/>
  <c r="AL176" i="32"/>
  <c r="AK176" i="32"/>
  <c r="AP175" i="32"/>
  <c r="AM175" i="32"/>
  <c r="AL175" i="32"/>
  <c r="AK175" i="32"/>
  <c r="AP174" i="32"/>
  <c r="AM174" i="32"/>
  <c r="AL174" i="32"/>
  <c r="AK174" i="32"/>
  <c r="AP173" i="32"/>
  <c r="AM173" i="32"/>
  <c r="AL173" i="32"/>
  <c r="AK173" i="32"/>
  <c r="AP172" i="32"/>
  <c r="AM172" i="32"/>
  <c r="AL172" i="32"/>
  <c r="AK172" i="32"/>
  <c r="AP171" i="32"/>
  <c r="AM171" i="32"/>
  <c r="AL171" i="32"/>
  <c r="AK171" i="32"/>
  <c r="AP170" i="32"/>
  <c r="AM170" i="32"/>
  <c r="AL170" i="32"/>
  <c r="AK170" i="32"/>
  <c r="AP169" i="32"/>
  <c r="AM169" i="32"/>
  <c r="AL169" i="32"/>
  <c r="AK169" i="32"/>
  <c r="AP168" i="32"/>
  <c r="AM168" i="32"/>
  <c r="AL168" i="32"/>
  <c r="AK168" i="32"/>
  <c r="AP167" i="32"/>
  <c r="AM167" i="32"/>
  <c r="AL167" i="32"/>
  <c r="AK167" i="32"/>
  <c r="AP166" i="32"/>
  <c r="AM166" i="32"/>
  <c r="AL166" i="32"/>
  <c r="AK166" i="32"/>
  <c r="AP165" i="32"/>
  <c r="AM165" i="32"/>
  <c r="AL165" i="32"/>
  <c r="AK165" i="32"/>
  <c r="AH158" i="32"/>
  <c r="AP157" i="32"/>
  <c r="AM157" i="32"/>
  <c r="AL157" i="32"/>
  <c r="AK157" i="32"/>
  <c r="AP156" i="32"/>
  <c r="AM156" i="32"/>
  <c r="AL156" i="32"/>
  <c r="AK156" i="32"/>
  <c r="AP155" i="32"/>
  <c r="AM155" i="32"/>
  <c r="AL155" i="32"/>
  <c r="AK155" i="32"/>
  <c r="AP154" i="32"/>
  <c r="AM154" i="32"/>
  <c r="AL154" i="32"/>
  <c r="AK154" i="32"/>
  <c r="AP153" i="32"/>
  <c r="AM153" i="32"/>
  <c r="AL153" i="32"/>
  <c r="AK153" i="32"/>
  <c r="AP152" i="32"/>
  <c r="AM152" i="32"/>
  <c r="AL152" i="32"/>
  <c r="AK152" i="32"/>
  <c r="AP151" i="32"/>
  <c r="AM151" i="32"/>
  <c r="AL151" i="32"/>
  <c r="AK151" i="32"/>
  <c r="AP150" i="32"/>
  <c r="AM150" i="32"/>
  <c r="AL150" i="32"/>
  <c r="AK150" i="32"/>
  <c r="AP149" i="32"/>
  <c r="AM149" i="32"/>
  <c r="AL149" i="32"/>
  <c r="AK149" i="32"/>
  <c r="AP148" i="32"/>
  <c r="AM148" i="32"/>
  <c r="AL148" i="32"/>
  <c r="AK148" i="32"/>
  <c r="AP147" i="32"/>
  <c r="AM147" i="32"/>
  <c r="AL147" i="32"/>
  <c r="AK147" i="32"/>
  <c r="AP146" i="32"/>
  <c r="AM146" i="32"/>
  <c r="AL146" i="32"/>
  <c r="AK146" i="32"/>
  <c r="AH139" i="32"/>
  <c r="AP138" i="32"/>
  <c r="AM138" i="32"/>
  <c r="AL138" i="32"/>
  <c r="AK138" i="32"/>
  <c r="AP137" i="32"/>
  <c r="AM137" i="32"/>
  <c r="AL137" i="32"/>
  <c r="AK137" i="32"/>
  <c r="AP136" i="32"/>
  <c r="AM136" i="32"/>
  <c r="AL136" i="32"/>
  <c r="AK136" i="32"/>
  <c r="AP135" i="32"/>
  <c r="AM135" i="32"/>
  <c r="AL135" i="32"/>
  <c r="AK135" i="32"/>
  <c r="AP134" i="32"/>
  <c r="AM134" i="32"/>
  <c r="AL134" i="32"/>
  <c r="AK134" i="32"/>
  <c r="AP133" i="32"/>
  <c r="AM133" i="32"/>
  <c r="AL133" i="32"/>
  <c r="AK133" i="32"/>
  <c r="AP132" i="32"/>
  <c r="AM132" i="32"/>
  <c r="AL132" i="32"/>
  <c r="AK132" i="32"/>
  <c r="AP131" i="32"/>
  <c r="AM131" i="32"/>
  <c r="AL131" i="32"/>
  <c r="AK131" i="32"/>
  <c r="AP130" i="32"/>
  <c r="AM130" i="32"/>
  <c r="AL130" i="32"/>
  <c r="AK130" i="32"/>
  <c r="AP129" i="32"/>
  <c r="AM129" i="32"/>
  <c r="AL129" i="32"/>
  <c r="AK129" i="32"/>
  <c r="AP128" i="32"/>
  <c r="AM128" i="32"/>
  <c r="AL128" i="32"/>
  <c r="AK128" i="32"/>
  <c r="AP127" i="32"/>
  <c r="AM127" i="32"/>
  <c r="AL127" i="32"/>
  <c r="AK127" i="32"/>
  <c r="AH120" i="32"/>
  <c r="AP119" i="32"/>
  <c r="AM119" i="32"/>
  <c r="AL119" i="32"/>
  <c r="AK119" i="32"/>
  <c r="AP118" i="32"/>
  <c r="AM118" i="32"/>
  <c r="AL118" i="32"/>
  <c r="AK118" i="32"/>
  <c r="AP117" i="32"/>
  <c r="AM117" i="32"/>
  <c r="AL117" i="32"/>
  <c r="AK117" i="32"/>
  <c r="AP116" i="32"/>
  <c r="AM116" i="32"/>
  <c r="AL116" i="32"/>
  <c r="AK116" i="32"/>
  <c r="AP115" i="32"/>
  <c r="AM115" i="32"/>
  <c r="AL115" i="32"/>
  <c r="AK115" i="32"/>
  <c r="AP114" i="32"/>
  <c r="AM114" i="32"/>
  <c r="AL114" i="32"/>
  <c r="AK114" i="32"/>
  <c r="AP113" i="32"/>
  <c r="AM113" i="32"/>
  <c r="AL113" i="32"/>
  <c r="AK113" i="32"/>
  <c r="AP112" i="32"/>
  <c r="AM112" i="32"/>
  <c r="AL112" i="32"/>
  <c r="AK112" i="32"/>
  <c r="AP111" i="32"/>
  <c r="AM111" i="32"/>
  <c r="AL111" i="32"/>
  <c r="AK111" i="32"/>
  <c r="AP110" i="32"/>
  <c r="AM110" i="32"/>
  <c r="AL110" i="32"/>
  <c r="AK110" i="32"/>
  <c r="AP109" i="32"/>
  <c r="AM109" i="32"/>
  <c r="AL109" i="32"/>
  <c r="AK109" i="32"/>
  <c r="AP108" i="32"/>
  <c r="AM108" i="32"/>
  <c r="AL108" i="32"/>
  <c r="AK108" i="32"/>
  <c r="AH101" i="32"/>
  <c r="AP100" i="32"/>
  <c r="AM100" i="32"/>
  <c r="AL100" i="32"/>
  <c r="AK100" i="32"/>
  <c r="AP99" i="32"/>
  <c r="AM99" i="32"/>
  <c r="AL99" i="32"/>
  <c r="AK99" i="32"/>
  <c r="AP98" i="32"/>
  <c r="AM98" i="32"/>
  <c r="AL98" i="32"/>
  <c r="AK98" i="32"/>
  <c r="AP97" i="32"/>
  <c r="AM97" i="32"/>
  <c r="AL97" i="32"/>
  <c r="AK97" i="32"/>
  <c r="AP96" i="32"/>
  <c r="AM96" i="32"/>
  <c r="AL96" i="32"/>
  <c r="AK96" i="32"/>
  <c r="AP95" i="32"/>
  <c r="AM95" i="32"/>
  <c r="AL95" i="32"/>
  <c r="AK95" i="32"/>
  <c r="AP94" i="32"/>
  <c r="AM94" i="32"/>
  <c r="AL94" i="32"/>
  <c r="AK94" i="32"/>
  <c r="AP93" i="32"/>
  <c r="AM93" i="32"/>
  <c r="AL93" i="32"/>
  <c r="AK93" i="32"/>
  <c r="AP92" i="32"/>
  <c r="AM92" i="32"/>
  <c r="AL92" i="32"/>
  <c r="AK92" i="32"/>
  <c r="AP91" i="32"/>
  <c r="AM91" i="32"/>
  <c r="AL91" i="32"/>
  <c r="AK91" i="32"/>
  <c r="AP90" i="32"/>
  <c r="AM90" i="32"/>
  <c r="AL90" i="32"/>
  <c r="AK90" i="32"/>
  <c r="AP89" i="32"/>
  <c r="AM89" i="32"/>
  <c r="AL89" i="32"/>
  <c r="AK89" i="32"/>
  <c r="AH82" i="32"/>
  <c r="AP81" i="32"/>
  <c r="AM81" i="32"/>
  <c r="AL81" i="32"/>
  <c r="AK81" i="32"/>
  <c r="AP80" i="32"/>
  <c r="AM80" i="32"/>
  <c r="AL80" i="32"/>
  <c r="AK80" i="32"/>
  <c r="AP79" i="32"/>
  <c r="AM79" i="32"/>
  <c r="AL79" i="32"/>
  <c r="AK79" i="32"/>
  <c r="AP78" i="32"/>
  <c r="AM78" i="32"/>
  <c r="AL78" i="32"/>
  <c r="AK78" i="32"/>
  <c r="AP77" i="32"/>
  <c r="AM77" i="32"/>
  <c r="AL77" i="32"/>
  <c r="AK77" i="32"/>
  <c r="AP76" i="32"/>
  <c r="AM76" i="32"/>
  <c r="AL76" i="32"/>
  <c r="AK76" i="32"/>
  <c r="AP75" i="32"/>
  <c r="AM75" i="32"/>
  <c r="AL75" i="32"/>
  <c r="AK75" i="32"/>
  <c r="AP74" i="32"/>
  <c r="AM74" i="32"/>
  <c r="AL74" i="32"/>
  <c r="AK74" i="32"/>
  <c r="AP73" i="32"/>
  <c r="AM73" i="32"/>
  <c r="AL73" i="32"/>
  <c r="AK73" i="32"/>
  <c r="AP72" i="32"/>
  <c r="AM72" i="32"/>
  <c r="AL72" i="32"/>
  <c r="AK72" i="32"/>
  <c r="AP71" i="32"/>
  <c r="AM71" i="32"/>
  <c r="AL71" i="32"/>
  <c r="AK71" i="32"/>
  <c r="AP70" i="32"/>
  <c r="AM70" i="32"/>
  <c r="AL70" i="32"/>
  <c r="AK70" i="32"/>
  <c r="AH63" i="32"/>
  <c r="AP62" i="32"/>
  <c r="AM62" i="32"/>
  <c r="AL62" i="32"/>
  <c r="AK62" i="32"/>
  <c r="AP61" i="32"/>
  <c r="AM61" i="32"/>
  <c r="AL61" i="32"/>
  <c r="AK61" i="32"/>
  <c r="AP60" i="32"/>
  <c r="AM60" i="32"/>
  <c r="AL60" i="32"/>
  <c r="AK60" i="32"/>
  <c r="AP59" i="32"/>
  <c r="AM59" i="32"/>
  <c r="AL59" i="32"/>
  <c r="AK59" i="32"/>
  <c r="AP58" i="32"/>
  <c r="AM58" i="32"/>
  <c r="AL58" i="32"/>
  <c r="AK58" i="32"/>
  <c r="AP57" i="32"/>
  <c r="AM57" i="32"/>
  <c r="AL57" i="32"/>
  <c r="AK57" i="32"/>
  <c r="AP56" i="32"/>
  <c r="AM56" i="32"/>
  <c r="AL56" i="32"/>
  <c r="AK56" i="32"/>
  <c r="AP55" i="32"/>
  <c r="AM55" i="32"/>
  <c r="AL55" i="32"/>
  <c r="AK55" i="32"/>
  <c r="AP54" i="32"/>
  <c r="AM54" i="32"/>
  <c r="AL54" i="32"/>
  <c r="AK54" i="32"/>
  <c r="AP53" i="32"/>
  <c r="AM53" i="32"/>
  <c r="AL53" i="32"/>
  <c r="AK53" i="32"/>
  <c r="AP52" i="32"/>
  <c r="AM52" i="32"/>
  <c r="AL52" i="32"/>
  <c r="AK52" i="32"/>
  <c r="AP51" i="32"/>
  <c r="AM51" i="32"/>
  <c r="AL51" i="32"/>
  <c r="AK51" i="32"/>
  <c r="AH44" i="32"/>
  <c r="AP43" i="32"/>
  <c r="AM43" i="32"/>
  <c r="AL43" i="32"/>
  <c r="AK43" i="32"/>
  <c r="AP42" i="32"/>
  <c r="AM42" i="32"/>
  <c r="AL42" i="32"/>
  <c r="AK42" i="32"/>
  <c r="AP41" i="32"/>
  <c r="AM41" i="32"/>
  <c r="AL41" i="32"/>
  <c r="AK41" i="32"/>
  <c r="AP40" i="32"/>
  <c r="AM40" i="32"/>
  <c r="AL40" i="32"/>
  <c r="AK40" i="32"/>
  <c r="AP39" i="32"/>
  <c r="AM39" i="32"/>
  <c r="AL39" i="32"/>
  <c r="AK39" i="32"/>
  <c r="AP38" i="32"/>
  <c r="AM38" i="32"/>
  <c r="AL38" i="32"/>
  <c r="AK38" i="32"/>
  <c r="AP37" i="32"/>
  <c r="AM37" i="32"/>
  <c r="AL37" i="32"/>
  <c r="AK37" i="32"/>
  <c r="AP36" i="32"/>
  <c r="AM36" i="32"/>
  <c r="AL36" i="32"/>
  <c r="AK36" i="32"/>
  <c r="AP35" i="32"/>
  <c r="AM35" i="32"/>
  <c r="AL35" i="32"/>
  <c r="AK35" i="32"/>
  <c r="AP34" i="32"/>
  <c r="AM34" i="32"/>
  <c r="AL34" i="32"/>
  <c r="AK34" i="32"/>
  <c r="AP33" i="32"/>
  <c r="AM33" i="32"/>
  <c r="AL33" i="32"/>
  <c r="AK33" i="32"/>
  <c r="AP32" i="32"/>
  <c r="AM32" i="32"/>
  <c r="AL32" i="32"/>
  <c r="AK32" i="32"/>
  <c r="AH25" i="32"/>
  <c r="AP24" i="32"/>
  <c r="AM24" i="32"/>
  <c r="AL24" i="32"/>
  <c r="AK24" i="32"/>
  <c r="AP23" i="32"/>
  <c r="AM23" i="32"/>
  <c r="AL23" i="32"/>
  <c r="AK23" i="32"/>
  <c r="AP22" i="32"/>
  <c r="AM22" i="32"/>
  <c r="AL22" i="32"/>
  <c r="AK22" i="32"/>
  <c r="AP21" i="32"/>
  <c r="AM21" i="32"/>
  <c r="AL21" i="32"/>
  <c r="AK21" i="32"/>
  <c r="AP20" i="32"/>
  <c r="AM20" i="32"/>
  <c r="AL20" i="32"/>
  <c r="AK20" i="32"/>
  <c r="AP19" i="32"/>
  <c r="AM19" i="32"/>
  <c r="AL19" i="32"/>
  <c r="AK19" i="32"/>
  <c r="AP18" i="32"/>
  <c r="AM18" i="32"/>
  <c r="AL18" i="32"/>
  <c r="AK18" i="32"/>
  <c r="AP17" i="32"/>
  <c r="AM17" i="32"/>
  <c r="AL17" i="32"/>
  <c r="AK17" i="32"/>
  <c r="AP16" i="32"/>
  <c r="AM16" i="32"/>
  <c r="AL16" i="32"/>
  <c r="AK16" i="32"/>
  <c r="AP15" i="32"/>
  <c r="AM15" i="32"/>
  <c r="AL15" i="32"/>
  <c r="AK15" i="32"/>
  <c r="AP14" i="32"/>
  <c r="AM14" i="32"/>
  <c r="AL14" i="32"/>
  <c r="AK14" i="32"/>
  <c r="AP13" i="32"/>
  <c r="AM13" i="32"/>
  <c r="AL13" i="32"/>
  <c r="AK13" i="32"/>
  <c r="S196" i="32"/>
  <c r="AA195" i="32"/>
  <c r="X195" i="32"/>
  <c r="W195" i="32"/>
  <c r="V195" i="32"/>
  <c r="AA194" i="32"/>
  <c r="X194" i="32"/>
  <c r="W194" i="32"/>
  <c r="V194" i="32"/>
  <c r="AA193" i="32"/>
  <c r="X193" i="32"/>
  <c r="W193" i="32"/>
  <c r="V193" i="32"/>
  <c r="AA192" i="32"/>
  <c r="X192" i="32"/>
  <c r="W192" i="32"/>
  <c r="V192" i="32"/>
  <c r="AA191" i="32"/>
  <c r="X191" i="32"/>
  <c r="W191" i="32"/>
  <c r="V191" i="32"/>
  <c r="AA190" i="32"/>
  <c r="X190" i="32"/>
  <c r="W190" i="32"/>
  <c r="V190" i="32"/>
  <c r="AA189" i="32"/>
  <c r="X189" i="32"/>
  <c r="W189" i="32"/>
  <c r="V189" i="32"/>
  <c r="AA188" i="32"/>
  <c r="X188" i="32"/>
  <c r="W188" i="32"/>
  <c r="V188" i="32"/>
  <c r="AA187" i="32"/>
  <c r="X187" i="32"/>
  <c r="W187" i="32"/>
  <c r="V187" i="32"/>
  <c r="AA186" i="32"/>
  <c r="X186" i="32"/>
  <c r="W186" i="32"/>
  <c r="V186" i="32"/>
  <c r="AA185" i="32"/>
  <c r="X185" i="32"/>
  <c r="W185" i="32"/>
  <c r="V185" i="32"/>
  <c r="AA184" i="32"/>
  <c r="X184" i="32"/>
  <c r="W184" i="32"/>
  <c r="V184" i="32"/>
  <c r="S177" i="32"/>
  <c r="AA176" i="32"/>
  <c r="X176" i="32"/>
  <c r="W176" i="32"/>
  <c r="V176" i="32"/>
  <c r="AA175" i="32"/>
  <c r="X175" i="32"/>
  <c r="W175" i="32"/>
  <c r="V175" i="32"/>
  <c r="AA174" i="32"/>
  <c r="X174" i="32"/>
  <c r="W174" i="32"/>
  <c r="V174" i="32"/>
  <c r="AA173" i="32"/>
  <c r="X173" i="32"/>
  <c r="W173" i="32"/>
  <c r="V173" i="32"/>
  <c r="AA172" i="32"/>
  <c r="X172" i="32"/>
  <c r="W172" i="32"/>
  <c r="V172" i="32"/>
  <c r="AA171" i="32"/>
  <c r="X171" i="32"/>
  <c r="W171" i="32"/>
  <c r="V171" i="32"/>
  <c r="AA170" i="32"/>
  <c r="X170" i="32"/>
  <c r="W170" i="32"/>
  <c r="V170" i="32"/>
  <c r="AA169" i="32"/>
  <c r="X169" i="32"/>
  <c r="W169" i="32"/>
  <c r="V169" i="32"/>
  <c r="AA168" i="32"/>
  <c r="X168" i="32"/>
  <c r="W168" i="32"/>
  <c r="V168" i="32"/>
  <c r="AA167" i="32"/>
  <c r="X167" i="32"/>
  <c r="W167" i="32"/>
  <c r="V167" i="32"/>
  <c r="AA166" i="32"/>
  <c r="X166" i="32"/>
  <c r="W166" i="32"/>
  <c r="V166" i="32"/>
  <c r="AA165" i="32"/>
  <c r="X165" i="32"/>
  <c r="W165" i="32"/>
  <c r="V165" i="32"/>
  <c r="S158" i="32"/>
  <c r="AA157" i="32"/>
  <c r="X157" i="32"/>
  <c r="W157" i="32"/>
  <c r="V157" i="32"/>
  <c r="AA156" i="32"/>
  <c r="X156" i="32"/>
  <c r="W156" i="32"/>
  <c r="V156" i="32"/>
  <c r="AA155" i="32"/>
  <c r="X155" i="32"/>
  <c r="W155" i="32"/>
  <c r="V155" i="32"/>
  <c r="AA154" i="32"/>
  <c r="X154" i="32"/>
  <c r="W154" i="32"/>
  <c r="V154" i="32"/>
  <c r="AA153" i="32"/>
  <c r="X153" i="32"/>
  <c r="W153" i="32"/>
  <c r="V153" i="32"/>
  <c r="AA152" i="32"/>
  <c r="X152" i="32"/>
  <c r="W152" i="32"/>
  <c r="V152" i="32"/>
  <c r="AA151" i="32"/>
  <c r="X151" i="32"/>
  <c r="W151" i="32"/>
  <c r="V151" i="32"/>
  <c r="AA150" i="32"/>
  <c r="X150" i="32"/>
  <c r="W150" i="32"/>
  <c r="V150" i="32"/>
  <c r="AA149" i="32"/>
  <c r="X149" i="32"/>
  <c r="W149" i="32"/>
  <c r="V149" i="32"/>
  <c r="AA148" i="32"/>
  <c r="X148" i="32"/>
  <c r="W148" i="32"/>
  <c r="V148" i="32"/>
  <c r="AA147" i="32"/>
  <c r="X147" i="32"/>
  <c r="W147" i="32"/>
  <c r="V147" i="32"/>
  <c r="AA146" i="32"/>
  <c r="X146" i="32"/>
  <c r="W146" i="32"/>
  <c r="V146" i="32"/>
  <c r="S139" i="32"/>
  <c r="AA138" i="32"/>
  <c r="X138" i="32"/>
  <c r="W138" i="32"/>
  <c r="V138" i="32"/>
  <c r="AA137" i="32"/>
  <c r="X137" i="32"/>
  <c r="W137" i="32"/>
  <c r="V137" i="32"/>
  <c r="AA136" i="32"/>
  <c r="X136" i="32"/>
  <c r="W136" i="32"/>
  <c r="V136" i="32"/>
  <c r="AA135" i="32"/>
  <c r="X135" i="32"/>
  <c r="W135" i="32"/>
  <c r="V135" i="32"/>
  <c r="AA134" i="32"/>
  <c r="X134" i="32"/>
  <c r="W134" i="32"/>
  <c r="V134" i="32"/>
  <c r="AA133" i="32"/>
  <c r="X133" i="32"/>
  <c r="W133" i="32"/>
  <c r="V133" i="32"/>
  <c r="AA132" i="32"/>
  <c r="X132" i="32"/>
  <c r="W132" i="32"/>
  <c r="V132" i="32"/>
  <c r="AA131" i="32"/>
  <c r="X131" i="32"/>
  <c r="W131" i="32"/>
  <c r="V131" i="32"/>
  <c r="AA130" i="32"/>
  <c r="X130" i="32"/>
  <c r="W130" i="32"/>
  <c r="V130" i="32"/>
  <c r="AA129" i="32"/>
  <c r="X129" i="32"/>
  <c r="W129" i="32"/>
  <c r="V129" i="32"/>
  <c r="AA128" i="32"/>
  <c r="X128" i="32"/>
  <c r="W128" i="32"/>
  <c r="V128" i="32"/>
  <c r="AA127" i="32"/>
  <c r="X127" i="32"/>
  <c r="W127" i="32"/>
  <c r="V127" i="32"/>
  <c r="S120" i="32"/>
  <c r="AA119" i="32"/>
  <c r="X119" i="32"/>
  <c r="W119" i="32"/>
  <c r="V119" i="32"/>
  <c r="AA118" i="32"/>
  <c r="X118" i="32"/>
  <c r="W118" i="32"/>
  <c r="V118" i="32"/>
  <c r="AA117" i="32"/>
  <c r="X117" i="32"/>
  <c r="W117" i="32"/>
  <c r="V117" i="32"/>
  <c r="AA116" i="32"/>
  <c r="X116" i="32"/>
  <c r="W116" i="32"/>
  <c r="V116" i="32"/>
  <c r="AA115" i="32"/>
  <c r="X115" i="32"/>
  <c r="W115" i="32"/>
  <c r="V115" i="32"/>
  <c r="AA114" i="32"/>
  <c r="X114" i="32"/>
  <c r="W114" i="32"/>
  <c r="V114" i="32"/>
  <c r="AA113" i="32"/>
  <c r="X113" i="32"/>
  <c r="W113" i="32"/>
  <c r="V113" i="32"/>
  <c r="AA112" i="32"/>
  <c r="X112" i="32"/>
  <c r="W112" i="32"/>
  <c r="V112" i="32"/>
  <c r="AA111" i="32"/>
  <c r="X111" i="32"/>
  <c r="W111" i="32"/>
  <c r="V111" i="32"/>
  <c r="AA110" i="32"/>
  <c r="X110" i="32"/>
  <c r="W110" i="32"/>
  <c r="V110" i="32"/>
  <c r="AA109" i="32"/>
  <c r="X109" i="32"/>
  <c r="W109" i="32"/>
  <c r="V109" i="32"/>
  <c r="AA108" i="32"/>
  <c r="X108" i="32"/>
  <c r="W108" i="32"/>
  <c r="V108" i="32"/>
  <c r="S101" i="32"/>
  <c r="AA100" i="32"/>
  <c r="X100" i="32"/>
  <c r="W100" i="32"/>
  <c r="V100" i="32"/>
  <c r="AA99" i="32"/>
  <c r="X99" i="32"/>
  <c r="W99" i="32"/>
  <c r="V99" i="32"/>
  <c r="AA98" i="32"/>
  <c r="X98" i="32"/>
  <c r="W98" i="32"/>
  <c r="V98" i="32"/>
  <c r="AA97" i="32"/>
  <c r="X97" i="32"/>
  <c r="W97" i="32"/>
  <c r="V97" i="32"/>
  <c r="AA96" i="32"/>
  <c r="X96" i="32"/>
  <c r="W96" i="32"/>
  <c r="V96" i="32"/>
  <c r="AA95" i="32"/>
  <c r="X95" i="32"/>
  <c r="W95" i="32"/>
  <c r="V95" i="32"/>
  <c r="AA94" i="32"/>
  <c r="X94" i="32"/>
  <c r="W94" i="32"/>
  <c r="V94" i="32"/>
  <c r="AA93" i="32"/>
  <c r="X93" i="32"/>
  <c r="W93" i="32"/>
  <c r="V93" i="32"/>
  <c r="AA92" i="32"/>
  <c r="X92" i="32"/>
  <c r="W92" i="32"/>
  <c r="V92" i="32"/>
  <c r="AA91" i="32"/>
  <c r="X91" i="32"/>
  <c r="W91" i="32"/>
  <c r="V91" i="32"/>
  <c r="AA90" i="32"/>
  <c r="X90" i="32"/>
  <c r="W90" i="32"/>
  <c r="V90" i="32"/>
  <c r="AA89" i="32"/>
  <c r="X89" i="32"/>
  <c r="W89" i="32"/>
  <c r="V89" i="32"/>
  <c r="S82" i="32"/>
  <c r="AA81" i="32"/>
  <c r="X81" i="32"/>
  <c r="W81" i="32"/>
  <c r="V81" i="32"/>
  <c r="AA80" i="32"/>
  <c r="X80" i="32"/>
  <c r="W80" i="32"/>
  <c r="V80" i="32"/>
  <c r="AA79" i="32"/>
  <c r="X79" i="32"/>
  <c r="W79" i="32"/>
  <c r="V79" i="32"/>
  <c r="AA78" i="32"/>
  <c r="X78" i="32"/>
  <c r="W78" i="32"/>
  <c r="V78" i="32"/>
  <c r="AA77" i="32"/>
  <c r="X77" i="32"/>
  <c r="W77" i="32"/>
  <c r="V77" i="32"/>
  <c r="AA76" i="32"/>
  <c r="X76" i="32"/>
  <c r="W76" i="32"/>
  <c r="V76" i="32"/>
  <c r="AA75" i="32"/>
  <c r="X75" i="32"/>
  <c r="W75" i="32"/>
  <c r="V75" i="32"/>
  <c r="AA74" i="32"/>
  <c r="X74" i="32"/>
  <c r="W74" i="32"/>
  <c r="V74" i="32"/>
  <c r="AA73" i="32"/>
  <c r="X73" i="32"/>
  <c r="W73" i="32"/>
  <c r="V73" i="32"/>
  <c r="AA72" i="32"/>
  <c r="X72" i="32"/>
  <c r="W72" i="32"/>
  <c r="V72" i="32"/>
  <c r="AA71" i="32"/>
  <c r="X71" i="32"/>
  <c r="W71" i="32"/>
  <c r="V71" i="32"/>
  <c r="AA70" i="32"/>
  <c r="X70" i="32"/>
  <c r="W70" i="32"/>
  <c r="V70" i="32"/>
  <c r="S63" i="32"/>
  <c r="AA62" i="32"/>
  <c r="X62" i="32"/>
  <c r="W62" i="32"/>
  <c r="V62" i="32"/>
  <c r="AA61" i="32"/>
  <c r="X61" i="32"/>
  <c r="W61" i="32"/>
  <c r="V61" i="32"/>
  <c r="AA60" i="32"/>
  <c r="X60" i="32"/>
  <c r="W60" i="32"/>
  <c r="V60" i="32"/>
  <c r="AA59" i="32"/>
  <c r="X59" i="32"/>
  <c r="W59" i="32"/>
  <c r="V59" i="32"/>
  <c r="AA58" i="32"/>
  <c r="X58" i="32"/>
  <c r="W58" i="32"/>
  <c r="V58" i="32"/>
  <c r="AA57" i="32"/>
  <c r="X57" i="32"/>
  <c r="W57" i="32"/>
  <c r="V57" i="32"/>
  <c r="AA56" i="32"/>
  <c r="X56" i="32"/>
  <c r="W56" i="32"/>
  <c r="V56" i="32"/>
  <c r="AA55" i="32"/>
  <c r="X55" i="32"/>
  <c r="W55" i="32"/>
  <c r="V55" i="32"/>
  <c r="AA54" i="32"/>
  <c r="X54" i="32"/>
  <c r="W54" i="32"/>
  <c r="V54" i="32"/>
  <c r="AA53" i="32"/>
  <c r="X53" i="32"/>
  <c r="W53" i="32"/>
  <c r="V53" i="32"/>
  <c r="AA52" i="32"/>
  <c r="X52" i="32"/>
  <c r="W52" i="32"/>
  <c r="V52" i="32"/>
  <c r="AA51" i="32"/>
  <c r="X51" i="32"/>
  <c r="W51" i="32"/>
  <c r="V51" i="32"/>
  <c r="S44" i="32"/>
  <c r="AA43" i="32"/>
  <c r="X43" i="32"/>
  <c r="W43" i="32"/>
  <c r="V43" i="32"/>
  <c r="AA42" i="32"/>
  <c r="X42" i="32"/>
  <c r="W42" i="32"/>
  <c r="V42" i="32"/>
  <c r="AA41" i="32"/>
  <c r="X41" i="32"/>
  <c r="W41" i="32"/>
  <c r="V41" i="32"/>
  <c r="AA40" i="32"/>
  <c r="X40" i="32"/>
  <c r="W40" i="32"/>
  <c r="V40" i="32"/>
  <c r="AA39" i="32"/>
  <c r="X39" i="32"/>
  <c r="W39" i="32"/>
  <c r="V39" i="32"/>
  <c r="AA38" i="32"/>
  <c r="X38" i="32"/>
  <c r="W38" i="32"/>
  <c r="V38" i="32"/>
  <c r="AA37" i="32"/>
  <c r="X37" i="32"/>
  <c r="W37" i="32"/>
  <c r="V37" i="32"/>
  <c r="AA36" i="32"/>
  <c r="X36" i="32"/>
  <c r="W36" i="32"/>
  <c r="V36" i="32"/>
  <c r="AA35" i="32"/>
  <c r="X35" i="32"/>
  <c r="W35" i="32"/>
  <c r="V35" i="32"/>
  <c r="AA34" i="32"/>
  <c r="X34" i="32"/>
  <c r="W34" i="32"/>
  <c r="V34" i="32"/>
  <c r="AA33" i="32"/>
  <c r="X33" i="32"/>
  <c r="W33" i="32"/>
  <c r="V33" i="32"/>
  <c r="AA32" i="32"/>
  <c r="X32" i="32"/>
  <c r="W32" i="32"/>
  <c r="V32" i="32"/>
  <c r="S25" i="32"/>
  <c r="AA24" i="32"/>
  <c r="X24" i="32"/>
  <c r="W24" i="32"/>
  <c r="V24" i="32"/>
  <c r="AA23" i="32"/>
  <c r="X23" i="32"/>
  <c r="W23" i="32"/>
  <c r="V23" i="32"/>
  <c r="AA22" i="32"/>
  <c r="X22" i="32"/>
  <c r="W22" i="32"/>
  <c r="V22" i="32"/>
  <c r="AA21" i="32"/>
  <c r="X21" i="32"/>
  <c r="W21" i="32"/>
  <c r="V21" i="32"/>
  <c r="AA20" i="32"/>
  <c r="X20" i="32"/>
  <c r="W20" i="32"/>
  <c r="V20" i="32"/>
  <c r="AA19" i="32"/>
  <c r="X19" i="32"/>
  <c r="W19" i="32"/>
  <c r="V19" i="32"/>
  <c r="AA18" i="32"/>
  <c r="X18" i="32"/>
  <c r="W18" i="32"/>
  <c r="V18" i="32"/>
  <c r="AA17" i="32"/>
  <c r="X17" i="32"/>
  <c r="W17" i="32"/>
  <c r="V17" i="32"/>
  <c r="AA16" i="32"/>
  <c r="X16" i="32"/>
  <c r="W16" i="32"/>
  <c r="V16" i="32"/>
  <c r="AA15" i="32"/>
  <c r="X15" i="32"/>
  <c r="W15" i="32"/>
  <c r="V15" i="32"/>
  <c r="AA14" i="32"/>
  <c r="X14" i="32"/>
  <c r="W14" i="32"/>
  <c r="V14" i="32"/>
  <c r="AA13" i="32"/>
  <c r="X13" i="32"/>
  <c r="W13" i="32"/>
  <c r="V13" i="32"/>
  <c r="D196" i="32"/>
  <c r="L195" i="32"/>
  <c r="I195" i="32"/>
  <c r="H195" i="32"/>
  <c r="G195" i="32"/>
  <c r="L194" i="32"/>
  <c r="I194" i="32"/>
  <c r="H194" i="32"/>
  <c r="G194" i="32"/>
  <c r="L193" i="32"/>
  <c r="I193" i="32"/>
  <c r="H193" i="32"/>
  <c r="G193" i="32"/>
  <c r="L192" i="32"/>
  <c r="I192" i="32"/>
  <c r="H192" i="32"/>
  <c r="G192" i="32"/>
  <c r="L191" i="32"/>
  <c r="I191" i="32"/>
  <c r="H191" i="32"/>
  <c r="G191" i="32"/>
  <c r="L190" i="32"/>
  <c r="I190" i="32"/>
  <c r="H190" i="32"/>
  <c r="G190" i="32"/>
  <c r="L189" i="32"/>
  <c r="I189" i="32"/>
  <c r="H189" i="32"/>
  <c r="G189" i="32"/>
  <c r="L188" i="32"/>
  <c r="I188" i="32"/>
  <c r="H188" i="32"/>
  <c r="G188" i="32"/>
  <c r="L187" i="32"/>
  <c r="I187" i="32"/>
  <c r="H187" i="32"/>
  <c r="G187" i="32"/>
  <c r="L186" i="32"/>
  <c r="I186" i="32"/>
  <c r="H186" i="32"/>
  <c r="G186" i="32"/>
  <c r="L185" i="32"/>
  <c r="I185" i="32"/>
  <c r="H185" i="32"/>
  <c r="G185" i="32"/>
  <c r="L184" i="32"/>
  <c r="I184" i="32"/>
  <c r="H184" i="32"/>
  <c r="G184" i="32"/>
  <c r="D177" i="32"/>
  <c r="L176" i="32"/>
  <c r="I176" i="32"/>
  <c r="H176" i="32"/>
  <c r="G176" i="32"/>
  <c r="L175" i="32"/>
  <c r="I175" i="32"/>
  <c r="H175" i="32"/>
  <c r="G175" i="32"/>
  <c r="L174" i="32"/>
  <c r="I174" i="32"/>
  <c r="H174" i="32"/>
  <c r="G174" i="32"/>
  <c r="L173" i="32"/>
  <c r="I173" i="32"/>
  <c r="H173" i="32"/>
  <c r="G173" i="32"/>
  <c r="L172" i="32"/>
  <c r="I172" i="32"/>
  <c r="H172" i="32"/>
  <c r="G172" i="32"/>
  <c r="L171" i="32"/>
  <c r="I171" i="32"/>
  <c r="H171" i="32"/>
  <c r="G171" i="32"/>
  <c r="L170" i="32"/>
  <c r="I170" i="32"/>
  <c r="H170" i="32"/>
  <c r="G170" i="32"/>
  <c r="L169" i="32"/>
  <c r="I169" i="32"/>
  <c r="H169" i="32"/>
  <c r="G169" i="32"/>
  <c r="L168" i="32"/>
  <c r="I168" i="32"/>
  <c r="H168" i="32"/>
  <c r="G168" i="32"/>
  <c r="L167" i="32"/>
  <c r="I167" i="32"/>
  <c r="H167" i="32"/>
  <c r="G167" i="32"/>
  <c r="L166" i="32"/>
  <c r="I166" i="32"/>
  <c r="H166" i="32"/>
  <c r="G166" i="32"/>
  <c r="L165" i="32"/>
  <c r="I165" i="32"/>
  <c r="H165" i="32"/>
  <c r="G165" i="32"/>
  <c r="D158" i="32"/>
  <c r="L157" i="32"/>
  <c r="I157" i="32"/>
  <c r="H157" i="32"/>
  <c r="G157" i="32"/>
  <c r="L156" i="32"/>
  <c r="I156" i="32"/>
  <c r="H156" i="32"/>
  <c r="G156" i="32"/>
  <c r="L155" i="32"/>
  <c r="I155" i="32"/>
  <c r="H155" i="32"/>
  <c r="G155" i="32"/>
  <c r="L154" i="32"/>
  <c r="I154" i="32"/>
  <c r="H154" i="32"/>
  <c r="G154" i="32"/>
  <c r="L153" i="32"/>
  <c r="I153" i="32"/>
  <c r="H153" i="32"/>
  <c r="G153" i="32"/>
  <c r="L152" i="32"/>
  <c r="I152" i="32"/>
  <c r="H152" i="32"/>
  <c r="G152" i="32"/>
  <c r="L151" i="32"/>
  <c r="I151" i="32"/>
  <c r="H151" i="32"/>
  <c r="G151" i="32"/>
  <c r="L150" i="32"/>
  <c r="I150" i="32"/>
  <c r="H150" i="32"/>
  <c r="G150" i="32"/>
  <c r="L149" i="32"/>
  <c r="I149" i="32"/>
  <c r="H149" i="32"/>
  <c r="G149" i="32"/>
  <c r="L148" i="32"/>
  <c r="I148" i="32"/>
  <c r="H148" i="32"/>
  <c r="G148" i="32"/>
  <c r="L147" i="32"/>
  <c r="I147" i="32"/>
  <c r="H147" i="32"/>
  <c r="G147" i="32"/>
  <c r="L146" i="32"/>
  <c r="I146" i="32"/>
  <c r="H146" i="32"/>
  <c r="G146" i="32"/>
  <c r="D139" i="32"/>
  <c r="L138" i="32"/>
  <c r="I138" i="32"/>
  <c r="H138" i="32"/>
  <c r="G138" i="32"/>
  <c r="L137" i="32"/>
  <c r="I137" i="32"/>
  <c r="H137" i="32"/>
  <c r="G137" i="32"/>
  <c r="L136" i="32"/>
  <c r="I136" i="32"/>
  <c r="H136" i="32"/>
  <c r="G136" i="32"/>
  <c r="L135" i="32"/>
  <c r="I135" i="32"/>
  <c r="H135" i="32"/>
  <c r="G135" i="32"/>
  <c r="L134" i="32"/>
  <c r="I134" i="32"/>
  <c r="H134" i="32"/>
  <c r="G134" i="32"/>
  <c r="L133" i="32"/>
  <c r="I133" i="32"/>
  <c r="H133" i="32"/>
  <c r="G133" i="32"/>
  <c r="L132" i="32"/>
  <c r="I132" i="32"/>
  <c r="H132" i="32"/>
  <c r="G132" i="32"/>
  <c r="L131" i="32"/>
  <c r="I131" i="32"/>
  <c r="H131" i="32"/>
  <c r="G131" i="32"/>
  <c r="L130" i="32"/>
  <c r="I130" i="32"/>
  <c r="H130" i="32"/>
  <c r="G130" i="32"/>
  <c r="L129" i="32"/>
  <c r="I129" i="32"/>
  <c r="H129" i="32"/>
  <c r="G129" i="32"/>
  <c r="L128" i="32"/>
  <c r="I128" i="32"/>
  <c r="H128" i="32"/>
  <c r="G128" i="32"/>
  <c r="L127" i="32"/>
  <c r="I127" i="32"/>
  <c r="H127" i="32"/>
  <c r="G127" i="32"/>
  <c r="D120" i="32"/>
  <c r="L119" i="32"/>
  <c r="I119" i="32"/>
  <c r="H119" i="32"/>
  <c r="G119" i="32"/>
  <c r="L118" i="32"/>
  <c r="I118" i="32"/>
  <c r="H118" i="32"/>
  <c r="G118" i="32"/>
  <c r="L117" i="32"/>
  <c r="I117" i="32"/>
  <c r="H117" i="32"/>
  <c r="G117" i="32"/>
  <c r="L116" i="32"/>
  <c r="I116" i="32"/>
  <c r="H116" i="32"/>
  <c r="G116" i="32"/>
  <c r="L115" i="32"/>
  <c r="I115" i="32"/>
  <c r="H115" i="32"/>
  <c r="G115" i="32"/>
  <c r="L114" i="32"/>
  <c r="I114" i="32"/>
  <c r="H114" i="32"/>
  <c r="G114" i="32"/>
  <c r="L113" i="32"/>
  <c r="I113" i="32"/>
  <c r="H113" i="32"/>
  <c r="G113" i="32"/>
  <c r="L112" i="32"/>
  <c r="I112" i="32"/>
  <c r="H112" i="32"/>
  <c r="G112" i="32"/>
  <c r="L111" i="32"/>
  <c r="I111" i="32"/>
  <c r="H111" i="32"/>
  <c r="G111" i="32"/>
  <c r="L110" i="32"/>
  <c r="I110" i="32"/>
  <c r="H110" i="32"/>
  <c r="G110" i="32"/>
  <c r="L109" i="32"/>
  <c r="I109" i="32"/>
  <c r="H109" i="32"/>
  <c r="G109" i="32"/>
  <c r="L108" i="32"/>
  <c r="I108" i="32"/>
  <c r="H108" i="32"/>
  <c r="G108" i="32"/>
  <c r="D101" i="32"/>
  <c r="L100" i="32"/>
  <c r="I100" i="32"/>
  <c r="H100" i="32"/>
  <c r="G100" i="32"/>
  <c r="L99" i="32"/>
  <c r="I99" i="32"/>
  <c r="H99" i="32"/>
  <c r="G99" i="32"/>
  <c r="L98" i="32"/>
  <c r="I98" i="32"/>
  <c r="H98" i="32"/>
  <c r="G98" i="32"/>
  <c r="L97" i="32"/>
  <c r="I97" i="32"/>
  <c r="H97" i="32"/>
  <c r="G97" i="32"/>
  <c r="L96" i="32"/>
  <c r="I96" i="32"/>
  <c r="H96" i="32"/>
  <c r="G96" i="32"/>
  <c r="L95" i="32"/>
  <c r="I95" i="32"/>
  <c r="H95" i="32"/>
  <c r="G95" i="32"/>
  <c r="L94" i="32"/>
  <c r="I94" i="32"/>
  <c r="H94" i="32"/>
  <c r="G94" i="32"/>
  <c r="L93" i="32"/>
  <c r="I93" i="32"/>
  <c r="H93" i="32"/>
  <c r="G93" i="32"/>
  <c r="L92" i="32"/>
  <c r="I92" i="32"/>
  <c r="H92" i="32"/>
  <c r="G92" i="32"/>
  <c r="L91" i="32"/>
  <c r="I91" i="32"/>
  <c r="H91" i="32"/>
  <c r="G91" i="32"/>
  <c r="L90" i="32"/>
  <c r="I90" i="32"/>
  <c r="H90" i="32"/>
  <c r="G90" i="32"/>
  <c r="L89" i="32"/>
  <c r="I89" i="32"/>
  <c r="H89" i="32"/>
  <c r="G89" i="32"/>
  <c r="D82" i="32"/>
  <c r="L81" i="32"/>
  <c r="I81" i="32"/>
  <c r="H81" i="32"/>
  <c r="G81" i="32"/>
  <c r="L80" i="32"/>
  <c r="I80" i="32"/>
  <c r="H80" i="32"/>
  <c r="G80" i="32"/>
  <c r="L79" i="32"/>
  <c r="I79" i="32"/>
  <c r="H79" i="32"/>
  <c r="G79" i="32"/>
  <c r="L78" i="32"/>
  <c r="I78" i="32"/>
  <c r="H78" i="32"/>
  <c r="G78" i="32"/>
  <c r="L77" i="32"/>
  <c r="I77" i="32"/>
  <c r="H77" i="32"/>
  <c r="G77" i="32"/>
  <c r="L76" i="32"/>
  <c r="I76" i="32"/>
  <c r="H76" i="32"/>
  <c r="G76" i="32"/>
  <c r="L75" i="32"/>
  <c r="I75" i="32"/>
  <c r="H75" i="32"/>
  <c r="G75" i="32"/>
  <c r="L74" i="32"/>
  <c r="I74" i="32"/>
  <c r="H74" i="32"/>
  <c r="G74" i="32"/>
  <c r="L73" i="32"/>
  <c r="I73" i="32"/>
  <c r="H73" i="32"/>
  <c r="G73" i="32"/>
  <c r="L72" i="32"/>
  <c r="I72" i="32"/>
  <c r="H72" i="32"/>
  <c r="G72" i="32"/>
  <c r="L71" i="32"/>
  <c r="I71" i="32"/>
  <c r="H71" i="32"/>
  <c r="G71" i="32"/>
  <c r="L70" i="32"/>
  <c r="I70" i="32"/>
  <c r="H70" i="32"/>
  <c r="G70" i="32"/>
  <c r="D63" i="32"/>
  <c r="L62" i="32"/>
  <c r="I62" i="32"/>
  <c r="H62" i="32"/>
  <c r="G62" i="32"/>
  <c r="L61" i="32"/>
  <c r="I61" i="32"/>
  <c r="H61" i="32"/>
  <c r="G61" i="32"/>
  <c r="L60" i="32"/>
  <c r="I60" i="32"/>
  <c r="H60" i="32"/>
  <c r="G60" i="32"/>
  <c r="L59" i="32"/>
  <c r="I59" i="32"/>
  <c r="H59" i="32"/>
  <c r="G59" i="32"/>
  <c r="L58" i="32"/>
  <c r="I58" i="32"/>
  <c r="H58" i="32"/>
  <c r="G58" i="32"/>
  <c r="L57" i="32"/>
  <c r="I57" i="32"/>
  <c r="H57" i="32"/>
  <c r="G57" i="32"/>
  <c r="L56" i="32"/>
  <c r="I56" i="32"/>
  <c r="H56" i="32"/>
  <c r="G56" i="32"/>
  <c r="L55" i="32"/>
  <c r="I55" i="32"/>
  <c r="H55" i="32"/>
  <c r="G55" i="32"/>
  <c r="L54" i="32"/>
  <c r="I54" i="32"/>
  <c r="H54" i="32"/>
  <c r="G54" i="32"/>
  <c r="L53" i="32"/>
  <c r="I53" i="32"/>
  <c r="H53" i="32"/>
  <c r="G53" i="32"/>
  <c r="L52" i="32"/>
  <c r="I52" i="32"/>
  <c r="H52" i="32"/>
  <c r="G52" i="32"/>
  <c r="L51" i="32"/>
  <c r="I51" i="32"/>
  <c r="H51" i="32"/>
  <c r="G51" i="32"/>
  <c r="D44" i="32"/>
  <c r="L43" i="32"/>
  <c r="I43" i="32"/>
  <c r="H43" i="32"/>
  <c r="G43" i="32"/>
  <c r="L42" i="32"/>
  <c r="I42" i="32"/>
  <c r="H42" i="32"/>
  <c r="G42" i="32"/>
  <c r="L41" i="32"/>
  <c r="I41" i="32"/>
  <c r="H41" i="32"/>
  <c r="G41" i="32"/>
  <c r="L40" i="32"/>
  <c r="I40" i="32"/>
  <c r="H40" i="32"/>
  <c r="G40" i="32"/>
  <c r="L39" i="32"/>
  <c r="I39" i="32"/>
  <c r="H39" i="32"/>
  <c r="G39" i="32"/>
  <c r="L38" i="32"/>
  <c r="I38" i="32"/>
  <c r="H38" i="32"/>
  <c r="G38" i="32"/>
  <c r="L37" i="32"/>
  <c r="I37" i="32"/>
  <c r="H37" i="32"/>
  <c r="G37" i="32"/>
  <c r="L36" i="32"/>
  <c r="I36" i="32"/>
  <c r="H36" i="32"/>
  <c r="G36" i="32"/>
  <c r="L35" i="32"/>
  <c r="I35" i="32"/>
  <c r="H35" i="32"/>
  <c r="G35" i="32"/>
  <c r="L34" i="32"/>
  <c r="I34" i="32"/>
  <c r="H34" i="32"/>
  <c r="G34" i="32"/>
  <c r="L33" i="32"/>
  <c r="I33" i="32"/>
  <c r="H33" i="32"/>
  <c r="G33" i="32"/>
  <c r="L32" i="32"/>
  <c r="I32" i="32"/>
  <c r="H32" i="32"/>
  <c r="G32" i="32"/>
  <c r="D25" i="32"/>
  <c r="L24" i="32"/>
  <c r="I24" i="32"/>
  <c r="H24" i="32"/>
  <c r="G24" i="32"/>
  <c r="L23" i="32"/>
  <c r="I23" i="32"/>
  <c r="H23" i="32"/>
  <c r="G23" i="32"/>
  <c r="L22" i="32"/>
  <c r="I22" i="32"/>
  <c r="H22" i="32"/>
  <c r="G22" i="32"/>
  <c r="L21" i="32"/>
  <c r="I21" i="32"/>
  <c r="H21" i="32"/>
  <c r="G21" i="32"/>
  <c r="L20" i="32"/>
  <c r="I20" i="32"/>
  <c r="H20" i="32"/>
  <c r="G20" i="32"/>
  <c r="L19" i="32"/>
  <c r="I19" i="32"/>
  <c r="H19" i="32"/>
  <c r="G19" i="32"/>
  <c r="L18" i="32"/>
  <c r="I18" i="32"/>
  <c r="H18" i="32"/>
  <c r="G18" i="32"/>
  <c r="L17" i="32"/>
  <c r="I17" i="32"/>
  <c r="H17" i="32"/>
  <c r="G17" i="32"/>
  <c r="L16" i="32"/>
  <c r="I16" i="32"/>
  <c r="H16" i="32"/>
  <c r="G16" i="32"/>
  <c r="L15" i="32"/>
  <c r="I15" i="32"/>
  <c r="H15" i="32"/>
  <c r="G15" i="32"/>
  <c r="L14" i="32"/>
  <c r="I14" i="32"/>
  <c r="H14" i="32"/>
  <c r="G14" i="32"/>
  <c r="L13" i="32"/>
  <c r="I13" i="32"/>
  <c r="H13" i="32"/>
  <c r="G13" i="32"/>
  <c r="AL283" i="2"/>
  <c r="AU282" i="2"/>
  <c r="AU281" i="2"/>
  <c r="AU280" i="2"/>
  <c r="AU279" i="2"/>
  <c r="AU278" i="2"/>
  <c r="AU277" i="2"/>
  <c r="AU276" i="2"/>
  <c r="AU275" i="2"/>
  <c r="AU274" i="2"/>
  <c r="AU273" i="2"/>
  <c r="AU272" i="2"/>
  <c r="AU271" i="2"/>
  <c r="AU270" i="2"/>
  <c r="AU269" i="2"/>
  <c r="AU268" i="2"/>
  <c r="AU267" i="2"/>
  <c r="AU266" i="2"/>
  <c r="AX264" i="2"/>
  <c r="AW264" i="2"/>
  <c r="AV264" i="2"/>
  <c r="AL255" i="2"/>
  <c r="AU254" i="2"/>
  <c r="AU253" i="2"/>
  <c r="AV252" i="2"/>
  <c r="AU252" i="2"/>
  <c r="AV251" i="2"/>
  <c r="AU251" i="2"/>
  <c r="AV250" i="2"/>
  <c r="AW250" i="2" s="1"/>
  <c r="AX250" i="2" s="1"/>
  <c r="AU250" i="2"/>
  <c r="AU249" i="2"/>
  <c r="AV248" i="2"/>
  <c r="AW248" i="2" s="1"/>
  <c r="AX248" i="2" s="1"/>
  <c r="AU248" i="2"/>
  <c r="AU247" i="2"/>
  <c r="AU246" i="2"/>
  <c r="AU245" i="2"/>
  <c r="AV244" i="2"/>
  <c r="AW244" i="2" s="1"/>
  <c r="AX244" i="2" s="1"/>
  <c r="AU244" i="2"/>
  <c r="AU243" i="2"/>
  <c r="AV242" i="2"/>
  <c r="AU242" i="2"/>
  <c r="AU241" i="2"/>
  <c r="AU240" i="2"/>
  <c r="AU239" i="2"/>
  <c r="AV238" i="2"/>
  <c r="AU238" i="2"/>
  <c r="AX236" i="2"/>
  <c r="AW236" i="2"/>
  <c r="AV236" i="2"/>
  <c r="AL227" i="2"/>
  <c r="AV226" i="2"/>
  <c r="AU226" i="2"/>
  <c r="AU225" i="2"/>
  <c r="AU224" i="2"/>
  <c r="AV223" i="2"/>
  <c r="AU223" i="2"/>
  <c r="AU222" i="2"/>
  <c r="AU221" i="2"/>
  <c r="AV220" i="2"/>
  <c r="AW220" i="2" s="1"/>
  <c r="AX220" i="2" s="1"/>
  <c r="AU220" i="2"/>
  <c r="AU219" i="2"/>
  <c r="AU218" i="2"/>
  <c r="AV217" i="2"/>
  <c r="AU217" i="2"/>
  <c r="AU216" i="2"/>
  <c r="AU215" i="2"/>
  <c r="AV214" i="2"/>
  <c r="AW214" i="2" s="1"/>
  <c r="AX214" i="2" s="1"/>
  <c r="AU214" i="2"/>
  <c r="AU213" i="2"/>
  <c r="AU212" i="2"/>
  <c r="AV211" i="2"/>
  <c r="AW211" i="2" s="1"/>
  <c r="AX211" i="2" s="1"/>
  <c r="AU211" i="2"/>
  <c r="AU210" i="2"/>
  <c r="AX208" i="2"/>
  <c r="AW208" i="2"/>
  <c r="AV208" i="2"/>
  <c r="AV225" i="2" s="1"/>
  <c r="AL199" i="2"/>
  <c r="AU198" i="2"/>
  <c r="AV197" i="2"/>
  <c r="AW197" i="2" s="1"/>
  <c r="AX197" i="2" s="1"/>
  <c r="AU197" i="2"/>
  <c r="AU196" i="2"/>
  <c r="AU195" i="2"/>
  <c r="AU194" i="2"/>
  <c r="AV193" i="2"/>
  <c r="AW193" i="2" s="1"/>
  <c r="AX193" i="2" s="1"/>
  <c r="AU193" i="2"/>
  <c r="AU192" i="2"/>
  <c r="AU191" i="2"/>
  <c r="AU190" i="2"/>
  <c r="AU189" i="2"/>
  <c r="AV188" i="2"/>
  <c r="AW188" i="2" s="1"/>
  <c r="AX188" i="2" s="1"/>
  <c r="AU188" i="2"/>
  <c r="AU187" i="2"/>
  <c r="AU186" i="2"/>
  <c r="AU185" i="2"/>
  <c r="AV184" i="2"/>
  <c r="AW184" i="2" s="1"/>
  <c r="AX184" i="2" s="1"/>
  <c r="AU184" i="2"/>
  <c r="AU183" i="2"/>
  <c r="AU182" i="2"/>
  <c r="AX180" i="2"/>
  <c r="AW180" i="2"/>
  <c r="AV180" i="2"/>
  <c r="AL171" i="2"/>
  <c r="AV170" i="2"/>
  <c r="AW170" i="2" s="1"/>
  <c r="AX170" i="2" s="1"/>
  <c r="AU170" i="2"/>
  <c r="AU169" i="2"/>
  <c r="AU168" i="2"/>
  <c r="AV167" i="2"/>
  <c r="AU167" i="2"/>
  <c r="AU166" i="2"/>
  <c r="AU165" i="2"/>
  <c r="AV164" i="2"/>
  <c r="AW164" i="2" s="1"/>
  <c r="AX164" i="2" s="1"/>
  <c r="AU164" i="2"/>
  <c r="AU163" i="2"/>
  <c r="AU162" i="2"/>
  <c r="AV161" i="2"/>
  <c r="AW161" i="2" s="1"/>
  <c r="AX161" i="2" s="1"/>
  <c r="AU161" i="2"/>
  <c r="AU160" i="2"/>
  <c r="AU159" i="2"/>
  <c r="AV158" i="2"/>
  <c r="AU158" i="2"/>
  <c r="AU157" i="2"/>
  <c r="AU156" i="2"/>
  <c r="AV155" i="2"/>
  <c r="AW155" i="2" s="1"/>
  <c r="AX155" i="2" s="1"/>
  <c r="AU155" i="2"/>
  <c r="AU154" i="2"/>
  <c r="AX152" i="2"/>
  <c r="AW152" i="2"/>
  <c r="AV152" i="2"/>
  <c r="AV169" i="2" s="1"/>
  <c r="AL143" i="2"/>
  <c r="AU142" i="2"/>
  <c r="AW141" i="2"/>
  <c r="AU141" i="2"/>
  <c r="AU140" i="2"/>
  <c r="AU139" i="2"/>
  <c r="AU138" i="2"/>
  <c r="AU137" i="2"/>
  <c r="AU136" i="2"/>
  <c r="AU135" i="2"/>
  <c r="AV134" i="2"/>
  <c r="AW134" i="2" s="1"/>
  <c r="AX134" i="2" s="1"/>
  <c r="AU134" i="2"/>
  <c r="AU133" i="2"/>
  <c r="AU132" i="2"/>
  <c r="AU131" i="2"/>
  <c r="AU130" i="2"/>
  <c r="AU129" i="2"/>
  <c r="AU128" i="2"/>
  <c r="AU127" i="2"/>
  <c r="AU126" i="2"/>
  <c r="AX124" i="2"/>
  <c r="AW124" i="2"/>
  <c r="AV124" i="2"/>
  <c r="AV141" i="2" s="1"/>
  <c r="AL115" i="2"/>
  <c r="AU114" i="2"/>
  <c r="AU113" i="2"/>
  <c r="AU112" i="2"/>
  <c r="AU111" i="2"/>
  <c r="AU110" i="2"/>
  <c r="AU109" i="2"/>
  <c r="AU108" i="2"/>
  <c r="AU107" i="2"/>
  <c r="AU106" i="2"/>
  <c r="AU105" i="2"/>
  <c r="AU104" i="2"/>
  <c r="AU103" i="2"/>
  <c r="AU102" i="2"/>
  <c r="AU101" i="2"/>
  <c r="AU100" i="2"/>
  <c r="AU99" i="2"/>
  <c r="AU98" i="2"/>
  <c r="AX96" i="2"/>
  <c r="AW96" i="2"/>
  <c r="AV96" i="2"/>
  <c r="AL87" i="2"/>
  <c r="AU86" i="2"/>
  <c r="AU85" i="2"/>
  <c r="AU84" i="2"/>
  <c r="AU83" i="2"/>
  <c r="AU82" i="2"/>
  <c r="AU81" i="2"/>
  <c r="AU80" i="2"/>
  <c r="AU79" i="2"/>
  <c r="AU78" i="2"/>
  <c r="AU77" i="2"/>
  <c r="AU76" i="2"/>
  <c r="AU75" i="2"/>
  <c r="AV74" i="2"/>
  <c r="AW74" i="2" s="1"/>
  <c r="AX74" i="2" s="1"/>
  <c r="AU74" i="2"/>
  <c r="AU73" i="2"/>
  <c r="AU72" i="2"/>
  <c r="AU71" i="2"/>
  <c r="AU70" i="2"/>
  <c r="AX68" i="2"/>
  <c r="AW68" i="2"/>
  <c r="AV68" i="2"/>
  <c r="AV83" i="2" s="1"/>
  <c r="AW83" i="2" s="1"/>
  <c r="AX83" i="2" s="1"/>
  <c r="AL59" i="2"/>
  <c r="AW58" i="2"/>
  <c r="AX58" i="2" s="1"/>
  <c r="AV58" i="2"/>
  <c r="AU58" i="2"/>
  <c r="AU57" i="2"/>
  <c r="AU56" i="2"/>
  <c r="AV55" i="2"/>
  <c r="AU55" i="2"/>
  <c r="AU54" i="2"/>
  <c r="AV53" i="2"/>
  <c r="AW53" i="2" s="1"/>
  <c r="AX53" i="2" s="1"/>
  <c r="AU53" i="2"/>
  <c r="AU52" i="2"/>
  <c r="AU51" i="2"/>
  <c r="AV50" i="2"/>
  <c r="AW50" i="2" s="1"/>
  <c r="AX50" i="2" s="1"/>
  <c r="AU50" i="2"/>
  <c r="AU49" i="2"/>
  <c r="AU48" i="2"/>
  <c r="AW47" i="2"/>
  <c r="AX47" i="2" s="1"/>
  <c r="AV47" i="2"/>
  <c r="AU47" i="2"/>
  <c r="AV46" i="2"/>
  <c r="AW46" i="2" s="1"/>
  <c r="AX46" i="2" s="1"/>
  <c r="AU46" i="2"/>
  <c r="AU45" i="2"/>
  <c r="AV44" i="2"/>
  <c r="AU44" i="2"/>
  <c r="AV43" i="2"/>
  <c r="AW43" i="2" s="1"/>
  <c r="AX43" i="2" s="1"/>
  <c r="AU43" i="2"/>
  <c r="AU42" i="2"/>
  <c r="AX40" i="2"/>
  <c r="AW40" i="2"/>
  <c r="AW55" i="2" s="1"/>
  <c r="AX55" i="2" s="1"/>
  <c r="AV40" i="2"/>
  <c r="AL31" i="2"/>
  <c r="AV30" i="2"/>
  <c r="AW30" i="2" s="1"/>
  <c r="AX30" i="2" s="1"/>
  <c r="AU30" i="2"/>
  <c r="AU29" i="2"/>
  <c r="AU28" i="2"/>
  <c r="AV27" i="2"/>
  <c r="AW27" i="2" s="1"/>
  <c r="AX27" i="2" s="1"/>
  <c r="AU27" i="2"/>
  <c r="AU26" i="2"/>
  <c r="AU25" i="2"/>
  <c r="AU24" i="2"/>
  <c r="AV23" i="2"/>
  <c r="AW23" i="2" s="1"/>
  <c r="AX23" i="2" s="1"/>
  <c r="AU23" i="2"/>
  <c r="AU22" i="2"/>
  <c r="AU21" i="2"/>
  <c r="AV20" i="2"/>
  <c r="AW20" i="2" s="1"/>
  <c r="AX20" i="2" s="1"/>
  <c r="AU20" i="2"/>
  <c r="AU19" i="2"/>
  <c r="AU18" i="2"/>
  <c r="AU17" i="2"/>
  <c r="AX16" i="2"/>
  <c r="AV16" i="2"/>
  <c r="AW16" i="2" s="1"/>
  <c r="AU16" i="2"/>
  <c r="AU15" i="2"/>
  <c r="AU14" i="2"/>
  <c r="AX12" i="2"/>
  <c r="AW12" i="2"/>
  <c r="AV12" i="2"/>
  <c r="U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G264" i="2"/>
  <c r="AF264" i="2"/>
  <c r="AE264" i="2"/>
  <c r="U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G236" i="2"/>
  <c r="AF236" i="2"/>
  <c r="AE236" i="2"/>
  <c r="AE253" i="2" s="1"/>
  <c r="AF253" i="2" s="1"/>
  <c r="AG253" i="2" s="1"/>
  <c r="U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G208" i="2"/>
  <c r="AF208" i="2"/>
  <c r="AE208" i="2"/>
  <c r="U199" i="2"/>
  <c r="AD198" i="2"/>
  <c r="AE197" i="2"/>
  <c r="AF197" i="2" s="1"/>
  <c r="AG197" i="2" s="1"/>
  <c r="AD197" i="2"/>
  <c r="AD196" i="2"/>
  <c r="AD195" i="2"/>
  <c r="AD194" i="2"/>
  <c r="AE193" i="2"/>
  <c r="AF193" i="2" s="1"/>
  <c r="AG193" i="2" s="1"/>
  <c r="AD193" i="2"/>
  <c r="AD192" i="2"/>
  <c r="AD191" i="2"/>
  <c r="AE190" i="2"/>
  <c r="AF190" i="2" s="1"/>
  <c r="AG190" i="2" s="1"/>
  <c r="AD190" i="2"/>
  <c r="AE189" i="2"/>
  <c r="AF189" i="2" s="1"/>
  <c r="AG189" i="2" s="1"/>
  <c r="AD189" i="2"/>
  <c r="AD188" i="2"/>
  <c r="AE187" i="2"/>
  <c r="AD187" i="2"/>
  <c r="AE186" i="2"/>
  <c r="AD186" i="2"/>
  <c r="AD185" i="2"/>
  <c r="AE184" i="2"/>
  <c r="AD184" i="2"/>
  <c r="AE183" i="2"/>
  <c r="AD183" i="2"/>
  <c r="AE182" i="2"/>
  <c r="AD182" i="2"/>
  <c r="AG180" i="2"/>
  <c r="AF180" i="2"/>
  <c r="AF184" i="2" s="1"/>
  <c r="AG184" i="2" s="1"/>
  <c r="AE180" i="2"/>
  <c r="AE196" i="2" s="1"/>
  <c r="AF196" i="2" s="1"/>
  <c r="AG196" i="2" s="1"/>
  <c r="U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E158" i="2"/>
  <c r="AF158" i="2" s="1"/>
  <c r="AG158" i="2" s="1"/>
  <c r="AD158" i="2"/>
  <c r="AD157" i="2"/>
  <c r="AD156" i="2"/>
  <c r="AD155" i="2"/>
  <c r="AD154" i="2"/>
  <c r="AG152" i="2"/>
  <c r="AF152" i="2"/>
  <c r="AE152" i="2"/>
  <c r="AE164" i="2" s="1"/>
  <c r="AF164" i="2" s="1"/>
  <c r="AG164" i="2" s="1"/>
  <c r="U143" i="2"/>
  <c r="AE142" i="2"/>
  <c r="AF142" i="2" s="1"/>
  <c r="AG142" i="2" s="1"/>
  <c r="AD142" i="2"/>
  <c r="AE141" i="2"/>
  <c r="AF141" i="2" s="1"/>
  <c r="AG141" i="2" s="1"/>
  <c r="AD141" i="2"/>
  <c r="AD140" i="2"/>
  <c r="AD139" i="2"/>
  <c r="AD138" i="2"/>
  <c r="AE137" i="2"/>
  <c r="AF137" i="2" s="1"/>
  <c r="AG137" i="2" s="1"/>
  <c r="AD137" i="2"/>
  <c r="AE136" i="2"/>
  <c r="AF136" i="2" s="1"/>
  <c r="AG136" i="2" s="1"/>
  <c r="AD136" i="2"/>
  <c r="AE135" i="2"/>
  <c r="AF135" i="2" s="1"/>
  <c r="AG135" i="2" s="1"/>
  <c r="AD135" i="2"/>
  <c r="AE134" i="2"/>
  <c r="AF134" i="2" s="1"/>
  <c r="AG134" i="2" s="1"/>
  <c r="AD134" i="2"/>
  <c r="AE133" i="2"/>
  <c r="AF133" i="2" s="1"/>
  <c r="AG133" i="2" s="1"/>
  <c r="AD133" i="2"/>
  <c r="AD132" i="2"/>
  <c r="AF131" i="2"/>
  <c r="AG131" i="2" s="1"/>
  <c r="AE131" i="2"/>
  <c r="AD131" i="2"/>
  <c r="AD130" i="2"/>
  <c r="AE129" i="2"/>
  <c r="AF129" i="2" s="1"/>
  <c r="AG129" i="2" s="1"/>
  <c r="AD129" i="2"/>
  <c r="AE128" i="2"/>
  <c r="AF128" i="2" s="1"/>
  <c r="AG128" i="2" s="1"/>
  <c r="AD128" i="2"/>
  <c r="AE127" i="2"/>
  <c r="AF127" i="2" s="1"/>
  <c r="AG127" i="2" s="1"/>
  <c r="AD127" i="2"/>
  <c r="AD126" i="2"/>
  <c r="AG124" i="2"/>
  <c r="AF124" i="2"/>
  <c r="AE124" i="2"/>
  <c r="AE139" i="2" s="1"/>
  <c r="AF139" i="2" s="1"/>
  <c r="AG139" i="2" s="1"/>
  <c r="U115" i="2"/>
  <c r="AD114" i="2"/>
  <c r="AD113" i="2"/>
  <c r="AD112" i="2"/>
  <c r="AD111" i="2"/>
  <c r="AD110" i="2"/>
  <c r="AD109" i="2"/>
  <c r="AE108" i="2"/>
  <c r="AF108" i="2" s="1"/>
  <c r="AG108" i="2" s="1"/>
  <c r="AD108" i="2"/>
  <c r="AD107" i="2"/>
  <c r="AD106" i="2"/>
  <c r="AD105" i="2"/>
  <c r="AD104" i="2"/>
  <c r="AD103" i="2"/>
  <c r="AD102" i="2"/>
  <c r="AD101" i="2"/>
  <c r="AD100" i="2"/>
  <c r="AD99" i="2"/>
  <c r="AD98" i="2"/>
  <c r="AG96" i="2"/>
  <c r="AF96" i="2"/>
  <c r="AE96" i="2"/>
  <c r="AE100" i="2" s="1"/>
  <c r="AF100" i="2" s="1"/>
  <c r="AG100" i="2" s="1"/>
  <c r="U87" i="2"/>
  <c r="AE86" i="2"/>
  <c r="AF86" i="2" s="1"/>
  <c r="AG86" i="2" s="1"/>
  <c r="AD86" i="2"/>
  <c r="AD85" i="2"/>
  <c r="AE84" i="2"/>
  <c r="AF84" i="2" s="1"/>
  <c r="AG84" i="2" s="1"/>
  <c r="AD84" i="2"/>
  <c r="AD83" i="2"/>
  <c r="AE82" i="2"/>
  <c r="AF82" i="2" s="1"/>
  <c r="AG82" i="2" s="1"/>
  <c r="AD82" i="2"/>
  <c r="AD81" i="2"/>
  <c r="AD80" i="2"/>
  <c r="AD79" i="2"/>
  <c r="AE78" i="2"/>
  <c r="AF78" i="2" s="1"/>
  <c r="AG78" i="2" s="1"/>
  <c r="AD78" i="2"/>
  <c r="AD77" i="2"/>
  <c r="AD76" i="2"/>
  <c r="AE75" i="2"/>
  <c r="AF75" i="2" s="1"/>
  <c r="AG75" i="2" s="1"/>
  <c r="AD75" i="2"/>
  <c r="AE74" i="2"/>
  <c r="AF74" i="2" s="1"/>
  <c r="AG74" i="2" s="1"/>
  <c r="AD74" i="2"/>
  <c r="AE73" i="2"/>
  <c r="AF73" i="2" s="1"/>
  <c r="AG73" i="2" s="1"/>
  <c r="AD73" i="2"/>
  <c r="AD72" i="2"/>
  <c r="AD71" i="2"/>
  <c r="AD70" i="2"/>
  <c r="AG68" i="2"/>
  <c r="AF68" i="2"/>
  <c r="AE68" i="2"/>
  <c r="U59" i="2"/>
  <c r="AE58" i="2"/>
  <c r="AD58" i="2"/>
  <c r="AD57" i="2"/>
  <c r="AE56" i="2"/>
  <c r="AF56" i="2" s="1"/>
  <c r="AG56" i="2" s="1"/>
  <c r="AD56" i="2"/>
  <c r="AE55" i="2"/>
  <c r="AD55" i="2"/>
  <c r="AD54" i="2"/>
  <c r="AE53" i="2"/>
  <c r="AD53" i="2"/>
  <c r="AD52" i="2"/>
  <c r="AD51" i="2"/>
  <c r="AF50" i="2"/>
  <c r="AG50" i="2" s="1"/>
  <c r="AE50" i="2"/>
  <c r="AD50" i="2"/>
  <c r="AE49" i="2"/>
  <c r="AD49" i="2"/>
  <c r="AD48" i="2"/>
  <c r="AE47" i="2"/>
  <c r="AD47" i="2"/>
  <c r="AE46" i="2"/>
  <c r="AD46" i="2"/>
  <c r="AD45" i="2"/>
  <c r="AE44" i="2"/>
  <c r="AD44" i="2"/>
  <c r="AE43" i="2"/>
  <c r="AD43" i="2"/>
  <c r="AD42" i="2"/>
  <c r="AG40" i="2"/>
  <c r="AF40" i="2"/>
  <c r="AE40" i="2"/>
  <c r="U31" i="2"/>
  <c r="AE30" i="2"/>
  <c r="AD30" i="2"/>
  <c r="AE29" i="2"/>
  <c r="AD29" i="2"/>
  <c r="AE28" i="2"/>
  <c r="AF28" i="2" s="1"/>
  <c r="AG28" i="2" s="1"/>
  <c r="AD28" i="2"/>
  <c r="AE27" i="2"/>
  <c r="AF27" i="2" s="1"/>
  <c r="AG27" i="2" s="1"/>
  <c r="AD27" i="2"/>
  <c r="AD26" i="2"/>
  <c r="AE25" i="2"/>
  <c r="AD25" i="2"/>
  <c r="AE24" i="2"/>
  <c r="AF24" i="2" s="1"/>
  <c r="AG24" i="2" s="1"/>
  <c r="AD24" i="2"/>
  <c r="AF23" i="2"/>
  <c r="AG23" i="2" s="1"/>
  <c r="AE23" i="2"/>
  <c r="AD23" i="2"/>
  <c r="AE22" i="2"/>
  <c r="AD22" i="2"/>
  <c r="AF21" i="2"/>
  <c r="AG21" i="2" s="1"/>
  <c r="AE21" i="2"/>
  <c r="AD21" i="2"/>
  <c r="AE20" i="2"/>
  <c r="AF20" i="2" s="1"/>
  <c r="AG20" i="2" s="1"/>
  <c r="AD20" i="2"/>
  <c r="AF19" i="2"/>
  <c r="AG19" i="2" s="1"/>
  <c r="AE19" i="2"/>
  <c r="AD19" i="2"/>
  <c r="AE18" i="2"/>
  <c r="AD18" i="2"/>
  <c r="AF17" i="2"/>
  <c r="AG17" i="2" s="1"/>
  <c r="AE17" i="2"/>
  <c r="AD17" i="2"/>
  <c r="AE16" i="2"/>
  <c r="AF16" i="2" s="1"/>
  <c r="AG16" i="2" s="1"/>
  <c r="AD16" i="2"/>
  <c r="AF15" i="2"/>
  <c r="AG15" i="2" s="1"/>
  <c r="AE15" i="2"/>
  <c r="AD15" i="2"/>
  <c r="AE14" i="2"/>
  <c r="AD14" i="2"/>
  <c r="AG12" i="2"/>
  <c r="AF12" i="2"/>
  <c r="AF30" i="2" s="1"/>
  <c r="AG30" i="2" s="1"/>
  <c r="AE12" i="2"/>
  <c r="AE26" i="2" s="1"/>
  <c r="AF26" i="2" s="1"/>
  <c r="AG26" i="2" s="1"/>
  <c r="D283" i="2"/>
  <c r="N282" i="2"/>
  <c r="O282" i="2" s="1"/>
  <c r="P282" i="2" s="1"/>
  <c r="M282" i="2"/>
  <c r="M281" i="2"/>
  <c r="N280" i="2"/>
  <c r="M280" i="2"/>
  <c r="N279" i="2"/>
  <c r="O279" i="2" s="1"/>
  <c r="P279" i="2" s="1"/>
  <c r="M279" i="2"/>
  <c r="M278" i="2"/>
  <c r="N277" i="2"/>
  <c r="M277" i="2"/>
  <c r="N276" i="2"/>
  <c r="O276" i="2" s="1"/>
  <c r="P276" i="2" s="1"/>
  <c r="M276" i="2"/>
  <c r="N275" i="2"/>
  <c r="O275" i="2" s="1"/>
  <c r="P275" i="2" s="1"/>
  <c r="M275" i="2"/>
  <c r="M274" i="2"/>
  <c r="O273" i="2"/>
  <c r="P273" i="2" s="1"/>
  <c r="N273" i="2"/>
  <c r="M273" i="2"/>
  <c r="N272" i="2"/>
  <c r="O272" i="2" s="1"/>
  <c r="P272" i="2" s="1"/>
  <c r="M272" i="2"/>
  <c r="O271" i="2"/>
  <c r="P271" i="2" s="1"/>
  <c r="N271" i="2"/>
  <c r="M271" i="2"/>
  <c r="N270" i="2"/>
  <c r="O270" i="2" s="1"/>
  <c r="P270" i="2" s="1"/>
  <c r="M270" i="2"/>
  <c r="N269" i="2"/>
  <c r="M269" i="2"/>
  <c r="N268" i="2"/>
  <c r="O268" i="2" s="1"/>
  <c r="P268" i="2" s="1"/>
  <c r="M268" i="2"/>
  <c r="N267" i="2"/>
  <c r="O267" i="2" s="1"/>
  <c r="P267" i="2" s="1"/>
  <c r="M267" i="2"/>
  <c r="N266" i="2"/>
  <c r="M266" i="2"/>
  <c r="P264" i="2"/>
  <c r="O264" i="2"/>
  <c r="O280" i="2" s="1"/>
  <c r="P280" i="2" s="1"/>
  <c r="N264" i="2"/>
  <c r="N281" i="2" s="1"/>
  <c r="D255" i="2"/>
  <c r="M254" i="2"/>
  <c r="M253" i="2"/>
  <c r="M252" i="2"/>
  <c r="M251" i="2"/>
  <c r="M250" i="2"/>
  <c r="M249" i="2"/>
  <c r="M248" i="2"/>
  <c r="M247" i="2"/>
  <c r="M246" i="2"/>
  <c r="M245" i="2"/>
  <c r="M244" i="2"/>
  <c r="N243" i="2"/>
  <c r="O243" i="2" s="1"/>
  <c r="P243" i="2" s="1"/>
  <c r="M243" i="2"/>
  <c r="M242" i="2"/>
  <c r="M241" i="2"/>
  <c r="M240" i="2"/>
  <c r="M239" i="2"/>
  <c r="M238" i="2"/>
  <c r="P236" i="2"/>
  <c r="O236" i="2"/>
  <c r="N236" i="2"/>
  <c r="D227" i="2"/>
  <c r="M226" i="2"/>
  <c r="N225" i="2"/>
  <c r="O225" i="2" s="1"/>
  <c r="P225" i="2" s="1"/>
  <c r="M225" i="2"/>
  <c r="M224" i="2"/>
  <c r="M223" i="2"/>
  <c r="N222" i="2"/>
  <c r="O222" i="2" s="1"/>
  <c r="P222" i="2" s="1"/>
  <c r="M222" i="2"/>
  <c r="M221" i="2"/>
  <c r="N220" i="2"/>
  <c r="O220" i="2" s="1"/>
  <c r="P220" i="2" s="1"/>
  <c r="M220" i="2"/>
  <c r="M219" i="2"/>
  <c r="N218" i="2"/>
  <c r="O218" i="2" s="1"/>
  <c r="P218" i="2" s="1"/>
  <c r="M218" i="2"/>
  <c r="M217" i="2"/>
  <c r="M216" i="2"/>
  <c r="N215" i="2"/>
  <c r="O215" i="2" s="1"/>
  <c r="P215" i="2" s="1"/>
  <c r="M215" i="2"/>
  <c r="M214" i="2"/>
  <c r="N213" i="2"/>
  <c r="O213" i="2" s="1"/>
  <c r="P213" i="2" s="1"/>
  <c r="M213" i="2"/>
  <c r="N212" i="2"/>
  <c r="O212" i="2" s="1"/>
  <c r="P212" i="2" s="1"/>
  <c r="M212" i="2"/>
  <c r="M211" i="2"/>
  <c r="M210" i="2"/>
  <c r="P208" i="2"/>
  <c r="O208" i="2"/>
  <c r="N208" i="2"/>
  <c r="D199" i="2"/>
  <c r="M198" i="2"/>
  <c r="N197" i="2"/>
  <c r="O197" i="2" s="1"/>
  <c r="P197" i="2" s="1"/>
  <c r="M197" i="2"/>
  <c r="M196" i="2"/>
  <c r="M195" i="2"/>
  <c r="M194" i="2"/>
  <c r="N193" i="2"/>
  <c r="O193" i="2" s="1"/>
  <c r="P193" i="2" s="1"/>
  <c r="M193" i="2"/>
  <c r="M192" i="2"/>
  <c r="M191" i="2"/>
  <c r="N190" i="2"/>
  <c r="O190" i="2" s="1"/>
  <c r="P190" i="2" s="1"/>
  <c r="M190" i="2"/>
  <c r="M189" i="2"/>
  <c r="N188" i="2"/>
  <c r="O188" i="2" s="1"/>
  <c r="P188" i="2" s="1"/>
  <c r="M188" i="2"/>
  <c r="N187" i="2"/>
  <c r="O187" i="2" s="1"/>
  <c r="P187" i="2" s="1"/>
  <c r="M187" i="2"/>
  <c r="M186" i="2"/>
  <c r="N185" i="2"/>
  <c r="O185" i="2" s="1"/>
  <c r="P185" i="2" s="1"/>
  <c r="M185" i="2"/>
  <c r="N184" i="2"/>
  <c r="O184" i="2" s="1"/>
  <c r="P184" i="2" s="1"/>
  <c r="M184" i="2"/>
  <c r="M183" i="2"/>
  <c r="M182" i="2"/>
  <c r="P180" i="2"/>
  <c r="O180" i="2"/>
  <c r="N180" i="2"/>
  <c r="D171" i="2"/>
  <c r="M170" i="2"/>
  <c r="N169" i="2"/>
  <c r="O169" i="2" s="1"/>
  <c r="M169" i="2"/>
  <c r="M168" i="2"/>
  <c r="M167" i="2"/>
  <c r="N166" i="2"/>
  <c r="O166" i="2" s="1"/>
  <c r="M166" i="2"/>
  <c r="N165" i="2"/>
  <c r="O165" i="2" s="1"/>
  <c r="P165" i="2" s="1"/>
  <c r="M165" i="2"/>
  <c r="M164" i="2"/>
  <c r="N163" i="2"/>
  <c r="O163" i="2" s="1"/>
  <c r="M163" i="2"/>
  <c r="N162" i="2"/>
  <c r="O162" i="2" s="1"/>
  <c r="M162" i="2"/>
  <c r="N161" i="2"/>
  <c r="O161" i="2" s="1"/>
  <c r="M161" i="2"/>
  <c r="M160" i="2"/>
  <c r="N159" i="2"/>
  <c r="O159" i="2" s="1"/>
  <c r="M159" i="2"/>
  <c r="N158" i="2"/>
  <c r="O158" i="2" s="1"/>
  <c r="M158" i="2"/>
  <c r="N157" i="2"/>
  <c r="O157" i="2" s="1"/>
  <c r="M157" i="2"/>
  <c r="O156" i="2"/>
  <c r="N156" i="2"/>
  <c r="M156" i="2"/>
  <c r="M155" i="2"/>
  <c r="N154" i="2"/>
  <c r="O154" i="2" s="1"/>
  <c r="M154" i="2"/>
  <c r="P152" i="2"/>
  <c r="O152" i="2"/>
  <c r="N152" i="2"/>
  <c r="N170" i="2" s="1"/>
  <c r="O170" i="2" s="1"/>
  <c r="D143" i="2"/>
  <c r="N142" i="2"/>
  <c r="O142" i="2" s="1"/>
  <c r="P142" i="2" s="1"/>
  <c r="M142" i="2"/>
  <c r="N141" i="2"/>
  <c r="O141" i="2" s="1"/>
  <c r="P141" i="2" s="1"/>
  <c r="M141" i="2"/>
  <c r="N140" i="2"/>
  <c r="O140" i="2" s="1"/>
  <c r="P140" i="2" s="1"/>
  <c r="M140" i="2"/>
  <c r="N139" i="2"/>
  <c r="O139" i="2" s="1"/>
  <c r="P139" i="2" s="1"/>
  <c r="M139" i="2"/>
  <c r="M138" i="2"/>
  <c r="N137" i="2"/>
  <c r="O137" i="2" s="1"/>
  <c r="M137" i="2"/>
  <c r="N136" i="2"/>
  <c r="O136" i="2" s="1"/>
  <c r="P136" i="2" s="1"/>
  <c r="M136" i="2"/>
  <c r="O135" i="2"/>
  <c r="P135" i="2" s="1"/>
  <c r="M135" i="2"/>
  <c r="N134" i="2"/>
  <c r="O134" i="2" s="1"/>
  <c r="M134" i="2"/>
  <c r="N133" i="2"/>
  <c r="O133" i="2" s="1"/>
  <c r="P133" i="2" s="1"/>
  <c r="M133" i="2"/>
  <c r="N132" i="2"/>
  <c r="O132" i="2" s="1"/>
  <c r="P132" i="2" s="1"/>
  <c r="M132" i="2"/>
  <c r="N131" i="2"/>
  <c r="O131" i="2" s="1"/>
  <c r="M131" i="2"/>
  <c r="O130" i="2"/>
  <c r="P130" i="2" s="1"/>
  <c r="N130" i="2"/>
  <c r="M130" i="2"/>
  <c r="N129" i="2"/>
  <c r="O129" i="2" s="1"/>
  <c r="P129" i="2" s="1"/>
  <c r="M129" i="2"/>
  <c r="M128" i="2"/>
  <c r="N127" i="2"/>
  <c r="O127" i="2" s="1"/>
  <c r="P127" i="2" s="1"/>
  <c r="M127" i="2"/>
  <c r="N126" i="2"/>
  <c r="M126" i="2"/>
  <c r="P124" i="2"/>
  <c r="P134" i="2" s="1"/>
  <c r="O124" i="2"/>
  <c r="N124" i="2"/>
  <c r="N135" i="2" s="1"/>
  <c r="D115" i="2"/>
  <c r="N114" i="2"/>
  <c r="O114" i="2" s="1"/>
  <c r="P114" i="2" s="1"/>
  <c r="M114" i="2"/>
  <c r="N113" i="2"/>
  <c r="M113" i="2"/>
  <c r="N112" i="2"/>
  <c r="O112" i="2" s="1"/>
  <c r="P112" i="2" s="1"/>
  <c r="M112" i="2"/>
  <c r="N111" i="2"/>
  <c r="O111" i="2" s="1"/>
  <c r="P111" i="2" s="1"/>
  <c r="M111" i="2"/>
  <c r="P110" i="2"/>
  <c r="M110" i="2"/>
  <c r="N109" i="2"/>
  <c r="O109" i="2" s="1"/>
  <c r="P109" i="2" s="1"/>
  <c r="M109" i="2"/>
  <c r="O108" i="2"/>
  <c r="P108" i="2" s="1"/>
  <c r="N108" i="2"/>
  <c r="M108" i="2"/>
  <c r="N107" i="2"/>
  <c r="O107" i="2" s="1"/>
  <c r="P107" i="2" s="1"/>
  <c r="M107" i="2"/>
  <c r="N106" i="2"/>
  <c r="O106" i="2" s="1"/>
  <c r="P106" i="2" s="1"/>
  <c r="M106" i="2"/>
  <c r="N105" i="2"/>
  <c r="O105" i="2" s="1"/>
  <c r="P105" i="2" s="1"/>
  <c r="M105" i="2"/>
  <c r="N104" i="2"/>
  <c r="O104" i="2" s="1"/>
  <c r="P104" i="2" s="1"/>
  <c r="M104" i="2"/>
  <c r="N103" i="2"/>
  <c r="O103" i="2" s="1"/>
  <c r="P103" i="2" s="1"/>
  <c r="M103" i="2"/>
  <c r="N102" i="2"/>
  <c r="M102" i="2"/>
  <c r="N101" i="2"/>
  <c r="M101" i="2"/>
  <c r="N100" i="2"/>
  <c r="O100" i="2" s="1"/>
  <c r="P100" i="2" s="1"/>
  <c r="M100" i="2"/>
  <c r="N99" i="2"/>
  <c r="O99" i="2" s="1"/>
  <c r="P99" i="2" s="1"/>
  <c r="M99" i="2"/>
  <c r="N98" i="2"/>
  <c r="O98" i="2" s="1"/>
  <c r="P98" i="2" s="1"/>
  <c r="M98" i="2"/>
  <c r="P96" i="2"/>
  <c r="O96" i="2"/>
  <c r="O102" i="2" s="1"/>
  <c r="P102" i="2" s="1"/>
  <c r="N96" i="2"/>
  <c r="N110" i="2" s="1"/>
  <c r="O110" i="2" s="1"/>
  <c r="D87" i="2"/>
  <c r="M86" i="2"/>
  <c r="N85" i="2"/>
  <c r="O85" i="2" s="1"/>
  <c r="P85" i="2" s="1"/>
  <c r="M85" i="2"/>
  <c r="M84" i="2"/>
  <c r="M83" i="2"/>
  <c r="N82" i="2"/>
  <c r="O82" i="2" s="1"/>
  <c r="P82" i="2" s="1"/>
  <c r="M82" i="2"/>
  <c r="M81" i="2"/>
  <c r="M80" i="2"/>
  <c r="N79" i="2"/>
  <c r="O79" i="2" s="1"/>
  <c r="P79" i="2" s="1"/>
  <c r="M79" i="2"/>
  <c r="M78" i="2"/>
  <c r="M77" i="2"/>
  <c r="N76" i="2"/>
  <c r="O76" i="2" s="1"/>
  <c r="P76" i="2" s="1"/>
  <c r="M76" i="2"/>
  <c r="M75" i="2"/>
  <c r="M74" i="2"/>
  <c r="N73" i="2"/>
  <c r="O73" i="2" s="1"/>
  <c r="P73" i="2" s="1"/>
  <c r="M73" i="2"/>
  <c r="M72" i="2"/>
  <c r="M71" i="2"/>
  <c r="N70" i="2"/>
  <c r="M70" i="2"/>
  <c r="P68" i="2"/>
  <c r="O68" i="2"/>
  <c r="N68" i="2"/>
  <c r="N84" i="2" s="1"/>
  <c r="O84" i="2" s="1"/>
  <c r="P84" i="2" s="1"/>
  <c r="D59" i="2"/>
  <c r="N58" i="2"/>
  <c r="O58" i="2" s="1"/>
  <c r="M58" i="2"/>
  <c r="N57" i="2"/>
  <c r="O57" i="2" s="1"/>
  <c r="M57" i="2"/>
  <c r="O56" i="2"/>
  <c r="N56" i="2"/>
  <c r="M56" i="2"/>
  <c r="N55" i="2"/>
  <c r="O55" i="2" s="1"/>
  <c r="P55" i="2" s="1"/>
  <c r="M55" i="2"/>
  <c r="M54" i="2"/>
  <c r="N53" i="2"/>
  <c r="O53" i="2" s="1"/>
  <c r="P53" i="2" s="1"/>
  <c r="M53" i="2"/>
  <c r="N52" i="2"/>
  <c r="O52" i="2" s="1"/>
  <c r="P52" i="2" s="1"/>
  <c r="M52" i="2"/>
  <c r="M51" i="2"/>
  <c r="N50" i="2"/>
  <c r="O50" i="2" s="1"/>
  <c r="M50" i="2"/>
  <c r="N49" i="2"/>
  <c r="O49" i="2" s="1"/>
  <c r="M49" i="2"/>
  <c r="N48" i="2"/>
  <c r="O48" i="2" s="1"/>
  <c r="P48" i="2" s="1"/>
  <c r="M48" i="2"/>
  <c r="O47" i="2"/>
  <c r="P47" i="2" s="1"/>
  <c r="N47" i="2"/>
  <c r="M47" i="2"/>
  <c r="N46" i="2"/>
  <c r="O46" i="2" s="1"/>
  <c r="M46" i="2"/>
  <c r="N45" i="2"/>
  <c r="O45" i="2" s="1"/>
  <c r="P45" i="2" s="1"/>
  <c r="M45" i="2"/>
  <c r="N44" i="2"/>
  <c r="O44" i="2" s="1"/>
  <c r="P44" i="2" s="1"/>
  <c r="M44" i="2"/>
  <c r="O43" i="2"/>
  <c r="P43" i="2" s="1"/>
  <c r="N43" i="2"/>
  <c r="M43" i="2"/>
  <c r="N42" i="2"/>
  <c r="O42" i="2" s="1"/>
  <c r="P42" i="2" s="1"/>
  <c r="M42" i="2"/>
  <c r="P40" i="2"/>
  <c r="O40" i="2"/>
  <c r="N40" i="2"/>
  <c r="N51" i="2" s="1"/>
  <c r="O51" i="2" s="1"/>
  <c r="P51" i="2" s="1"/>
  <c r="D31" i="2"/>
  <c r="N30" i="2"/>
  <c r="O30" i="2" s="1"/>
  <c r="P30" i="2" s="1"/>
  <c r="M30" i="2"/>
  <c r="M29" i="2"/>
  <c r="M28" i="2"/>
  <c r="N27" i="2"/>
  <c r="O27" i="2" s="1"/>
  <c r="P27" i="2" s="1"/>
  <c r="M27" i="2"/>
  <c r="M26" i="2"/>
  <c r="M25" i="2"/>
  <c r="N24" i="2"/>
  <c r="O24" i="2" s="1"/>
  <c r="P24" i="2" s="1"/>
  <c r="M24" i="2"/>
  <c r="M23" i="2"/>
  <c r="M22" i="2"/>
  <c r="N21" i="2"/>
  <c r="O21" i="2" s="1"/>
  <c r="P21" i="2" s="1"/>
  <c r="M21" i="2"/>
  <c r="M20" i="2"/>
  <c r="M19" i="2"/>
  <c r="N18" i="2"/>
  <c r="O18" i="2" s="1"/>
  <c r="P18" i="2" s="1"/>
  <c r="M18" i="2"/>
  <c r="M17" i="2"/>
  <c r="M16" i="2"/>
  <c r="O15" i="2"/>
  <c r="P15" i="2" s="1"/>
  <c r="N15" i="2"/>
  <c r="M15" i="2"/>
  <c r="M14" i="2"/>
  <c r="P12" i="2"/>
  <c r="O12" i="2"/>
  <c r="N12" i="2"/>
  <c r="N29" i="2" s="1"/>
  <c r="O29" i="2" s="1"/>
  <c r="P29" i="2" s="1"/>
  <c r="P14" i="60"/>
  <c r="G20" i="66"/>
  <c r="H20" i="66" a="1"/>
  <c r="H20" i="66" s="1"/>
  <c r="I20" i="66" a="1"/>
  <c r="I20" i="66" s="1"/>
  <c r="L20" i="66"/>
  <c r="G21" i="66"/>
  <c r="H21" i="66" a="1"/>
  <c r="H21" i="66" s="1"/>
  <c r="L21" i="66"/>
  <c r="G22" i="66"/>
  <c r="H22" i="66" a="1"/>
  <c r="H22" i="66" s="1"/>
  <c r="I22" i="66" a="1"/>
  <c r="I22" i="66" s="1"/>
  <c r="L22" i="66"/>
  <c r="G23" i="66"/>
  <c r="H23" i="66" a="1"/>
  <c r="H23" i="66" s="1"/>
  <c r="L23" i="66"/>
  <c r="G24" i="66"/>
  <c r="H24" i="66" a="1"/>
  <c r="H24" i="66" s="1"/>
  <c r="I24" i="66" a="1"/>
  <c r="I24" i="66" s="1"/>
  <c r="L24" i="66"/>
  <c r="D25" i="66"/>
  <c r="P21" i="60"/>
  <c r="K21" i="60" s="1"/>
  <c r="J21" i="60" s="1"/>
  <c r="P17" i="60"/>
  <c r="K17" i="60" s="1"/>
  <c r="P18" i="60"/>
  <c r="K18" i="60" s="1"/>
  <c r="J18" i="60" s="1"/>
  <c r="P19" i="60"/>
  <c r="K19" i="60" s="1"/>
  <c r="P20" i="60"/>
  <c r="K20" i="60" s="1"/>
  <c r="G14" i="66"/>
  <c r="H14" i="66" a="1"/>
  <c r="H14" i="66" s="1"/>
  <c r="I14" i="66" a="1"/>
  <c r="I14" i="66" s="1"/>
  <c r="L14" i="66"/>
  <c r="G15" i="66"/>
  <c r="H15" i="66" a="1"/>
  <c r="H15" i="66" s="1"/>
  <c r="L15" i="66"/>
  <c r="G16" i="66"/>
  <c r="H16" i="66" a="1"/>
  <c r="H16" i="66" s="1"/>
  <c r="I16" i="66" a="1"/>
  <c r="I16" i="66" s="1"/>
  <c r="L16" i="66"/>
  <c r="G17" i="66"/>
  <c r="H17" i="66" a="1"/>
  <c r="H17" i="66" s="1"/>
  <c r="L17" i="66"/>
  <c r="G18" i="66"/>
  <c r="H18" i="66" a="1"/>
  <c r="H18" i="66" s="1"/>
  <c r="I18" i="66" a="1"/>
  <c r="I18" i="66" s="1"/>
  <c r="L18" i="66"/>
  <c r="G19" i="66"/>
  <c r="H19" i="66" a="1"/>
  <c r="H19" i="66" s="1"/>
  <c r="L19" i="66"/>
  <c r="P10" i="60"/>
  <c r="K10" i="60" s="1"/>
  <c r="J10" i="60" s="1"/>
  <c r="G13" i="66"/>
  <c r="AI194" i="32"/>
  <c r="AI188" i="32"/>
  <c r="AI157" i="32"/>
  <c r="AI151" i="32"/>
  <c r="AI114" i="32"/>
  <c r="AI108" i="32"/>
  <c r="AI77" i="32"/>
  <c r="AI71" i="32"/>
  <c r="AI40" i="32"/>
  <c r="AI34" i="32"/>
  <c r="T193" i="32"/>
  <c r="T187" i="32"/>
  <c r="T156" i="32"/>
  <c r="T150" i="32"/>
  <c r="T119" i="32"/>
  <c r="T113" i="32"/>
  <c r="AI173" i="32"/>
  <c r="AI167" i="32"/>
  <c r="AI195" i="32"/>
  <c r="AI189" i="32"/>
  <c r="AI174" i="32"/>
  <c r="AI168" i="32"/>
  <c r="AI137" i="32"/>
  <c r="AI131" i="32"/>
  <c r="AI100" i="32"/>
  <c r="AI94" i="32"/>
  <c r="AI57" i="32"/>
  <c r="AI51" i="32"/>
  <c r="AI190" i="32"/>
  <c r="AI184" i="32"/>
  <c r="AI153" i="32"/>
  <c r="AI147" i="32"/>
  <c r="AI175" i="32"/>
  <c r="AI169" i="32"/>
  <c r="AI138" i="32"/>
  <c r="AI132" i="32"/>
  <c r="AI95" i="32"/>
  <c r="AI89" i="32"/>
  <c r="AI58" i="32"/>
  <c r="AI52" i="32"/>
  <c r="AI21" i="32"/>
  <c r="AI15" i="32"/>
  <c r="AI191" i="32"/>
  <c r="AI185" i="32"/>
  <c r="AI154" i="32"/>
  <c r="AI148" i="32"/>
  <c r="AI117" i="32"/>
  <c r="AI111" i="32"/>
  <c r="AI80" i="32"/>
  <c r="AI74" i="32"/>
  <c r="AI43" i="32"/>
  <c r="AI37" i="32"/>
  <c r="AI176" i="32"/>
  <c r="AI170" i="32"/>
  <c r="AI133" i="32"/>
  <c r="AI127" i="32"/>
  <c r="AI96" i="32"/>
  <c r="AI90" i="32"/>
  <c r="AI59" i="32"/>
  <c r="AI53" i="32"/>
  <c r="AI192" i="32"/>
  <c r="AI186" i="32"/>
  <c r="AI155" i="32"/>
  <c r="AI149" i="32"/>
  <c r="AI118" i="32"/>
  <c r="AI112" i="32"/>
  <c r="AI81" i="32"/>
  <c r="AI75" i="32"/>
  <c r="AI171" i="32"/>
  <c r="AI165" i="32"/>
  <c r="AI134" i="32"/>
  <c r="AI128" i="32"/>
  <c r="AI97" i="32"/>
  <c r="AI91" i="32"/>
  <c r="AI193" i="32"/>
  <c r="AI187" i="32"/>
  <c r="AI156" i="32"/>
  <c r="AI150" i="32"/>
  <c r="AI119" i="32"/>
  <c r="AI113" i="32"/>
  <c r="AI76" i="32"/>
  <c r="AI70" i="32"/>
  <c r="AI39" i="32"/>
  <c r="AI33" i="32"/>
  <c r="T192" i="32"/>
  <c r="T186" i="32"/>
  <c r="T155" i="32"/>
  <c r="T149" i="32"/>
  <c r="AI172" i="32"/>
  <c r="AI166" i="32"/>
  <c r="AI135" i="32"/>
  <c r="AI129" i="32"/>
  <c r="AI98" i="32"/>
  <c r="AI92" i="32"/>
  <c r="AI115" i="32"/>
  <c r="T146" i="32"/>
  <c r="T133" i="32"/>
  <c r="T128" i="32"/>
  <c r="T115" i="32"/>
  <c r="T110" i="32"/>
  <c r="T79" i="32"/>
  <c r="T73" i="32"/>
  <c r="T42" i="32"/>
  <c r="T36" i="32"/>
  <c r="E195" i="32"/>
  <c r="E189" i="32"/>
  <c r="E152" i="32"/>
  <c r="E146" i="32"/>
  <c r="AI36" i="32"/>
  <c r="T190" i="32"/>
  <c r="T154" i="32"/>
  <c r="T95" i="32"/>
  <c r="T89" i="32"/>
  <c r="AI93" i="32"/>
  <c r="AI72" i="32"/>
  <c r="AI62" i="32"/>
  <c r="AI22" i="32"/>
  <c r="T175" i="32"/>
  <c r="T171" i="32"/>
  <c r="T167" i="32"/>
  <c r="T138" i="32"/>
  <c r="T129" i="32"/>
  <c r="T116" i="32"/>
  <c r="T111" i="32"/>
  <c r="T80" i="32"/>
  <c r="T74" i="32"/>
  <c r="T43" i="32"/>
  <c r="T37" i="32"/>
  <c r="E190" i="32"/>
  <c r="E184" i="32"/>
  <c r="AI130" i="32"/>
  <c r="AI42" i="32"/>
  <c r="T194" i="32"/>
  <c r="T184" i="32"/>
  <c r="T151" i="32"/>
  <c r="T81" i="32"/>
  <c r="T75" i="32"/>
  <c r="T38" i="32"/>
  <c r="T32" i="32"/>
  <c r="E191" i="32"/>
  <c r="AI99" i="32"/>
  <c r="AI79" i="32"/>
  <c r="AI56" i="32"/>
  <c r="AI23" i="32"/>
  <c r="AI16" i="32"/>
  <c r="T176" i="32"/>
  <c r="T172" i="32"/>
  <c r="T168" i="32"/>
  <c r="T135" i="32"/>
  <c r="T130" i="32"/>
  <c r="T117" i="32"/>
  <c r="T112" i="32"/>
  <c r="T97" i="32"/>
  <c r="T91" i="32"/>
  <c r="T60" i="32"/>
  <c r="T54" i="32"/>
  <c r="T23" i="32"/>
  <c r="T17" i="32"/>
  <c r="AI116" i="32"/>
  <c r="AI54" i="32"/>
  <c r="AI13" i="32"/>
  <c r="T191" i="32"/>
  <c r="T152" i="32"/>
  <c r="T76" i="32"/>
  <c r="T70" i="32"/>
  <c r="T39" i="32"/>
  <c r="AI146" i="32"/>
  <c r="AI73" i="32"/>
  <c r="AI20" i="32"/>
  <c r="T195" i="32"/>
  <c r="T188" i="32"/>
  <c r="T148" i="32"/>
  <c r="T131" i="32"/>
  <c r="T98" i="32"/>
  <c r="T92" i="32"/>
  <c r="AI61" i="32"/>
  <c r="AI24" i="32"/>
  <c r="AI109" i="32"/>
  <c r="T174" i="32"/>
  <c r="T166" i="32"/>
  <c r="T19" i="32"/>
  <c r="T13" i="32"/>
  <c r="E186" i="32"/>
  <c r="E173" i="32"/>
  <c r="E169" i="32"/>
  <c r="E165" i="32"/>
  <c r="E116" i="32"/>
  <c r="E110" i="32"/>
  <c r="E79" i="32"/>
  <c r="E73" i="32"/>
  <c r="E42" i="32"/>
  <c r="E36" i="32"/>
  <c r="T170" i="32"/>
  <c r="T109" i="32"/>
  <c r="T90" i="32"/>
  <c r="T72" i="32"/>
  <c r="T62" i="32"/>
  <c r="T57" i="32"/>
  <c r="T22" i="32"/>
  <c r="T16" i="32"/>
  <c r="E147" i="32"/>
  <c r="E138" i="32"/>
  <c r="E132" i="32"/>
  <c r="E95" i="32"/>
  <c r="E89" i="32"/>
  <c r="E58" i="32"/>
  <c r="T137" i="32"/>
  <c r="T99" i="32"/>
  <c r="E157" i="32"/>
  <c r="E117" i="32"/>
  <c r="E111" i="32"/>
  <c r="E80" i="32"/>
  <c r="E74" i="32"/>
  <c r="AI152" i="32"/>
  <c r="AI32" i="32"/>
  <c r="AI17" i="32"/>
  <c r="T127" i="32"/>
  <c r="T52" i="32"/>
  <c r="T34" i="32"/>
  <c r="E193" i="32"/>
  <c r="E187" i="32"/>
  <c r="E174" i="32"/>
  <c r="E170" i="32"/>
  <c r="E166" i="32"/>
  <c r="E148" i="32"/>
  <c r="E133" i="32"/>
  <c r="E127" i="32"/>
  <c r="E96" i="32"/>
  <c r="E90" i="32"/>
  <c r="E59" i="32"/>
  <c r="E53" i="32"/>
  <c r="AI41" i="32"/>
  <c r="AI19" i="32"/>
  <c r="T157" i="32"/>
  <c r="T153" i="32"/>
  <c r="T20" i="32"/>
  <c r="T14" i="32"/>
  <c r="AI136" i="32"/>
  <c r="AI55" i="32"/>
  <c r="T93" i="32"/>
  <c r="T77" i="32"/>
  <c r="T55" i="32"/>
  <c r="AI60" i="32"/>
  <c r="T173" i="32"/>
  <c r="T165" i="32"/>
  <c r="T147" i="32"/>
  <c r="T114" i="32"/>
  <c r="T58" i="32"/>
  <c r="T40" i="32"/>
  <c r="E175" i="32"/>
  <c r="E171" i="32"/>
  <c r="E167" i="32"/>
  <c r="E154" i="32"/>
  <c r="E119" i="32"/>
  <c r="E113" i="32"/>
  <c r="E76" i="32"/>
  <c r="E70" i="32"/>
  <c r="AI38" i="32"/>
  <c r="T169" i="32"/>
  <c r="T118" i="32"/>
  <c r="T100" i="32"/>
  <c r="T35" i="32"/>
  <c r="E194" i="32"/>
  <c r="E188" i="32"/>
  <c r="E135" i="32"/>
  <c r="AI110" i="32"/>
  <c r="AI78" i="32"/>
  <c r="AI18" i="32"/>
  <c r="AI14" i="32"/>
  <c r="T134" i="32"/>
  <c r="T56" i="32"/>
  <c r="T24" i="32"/>
  <c r="T18" i="32"/>
  <c r="E176" i="32"/>
  <c r="E172" i="32"/>
  <c r="E168" i="32"/>
  <c r="E136" i="32"/>
  <c r="E130" i="32"/>
  <c r="T61" i="32"/>
  <c r="E34" i="32"/>
  <c r="E20" i="32"/>
  <c r="T78" i="32"/>
  <c r="T51" i="32"/>
  <c r="T15" i="32"/>
  <c r="E185" i="32"/>
  <c r="E155" i="32"/>
  <c r="E109" i="32"/>
  <c r="E72" i="32"/>
  <c r="E55" i="32"/>
  <c r="E51" i="32"/>
  <c r="E39" i="32"/>
  <c r="T53" i="32"/>
  <c r="E137" i="32"/>
  <c r="E99" i="32"/>
  <c r="E43" i="32"/>
  <c r="E21" i="32"/>
  <c r="E16" i="32"/>
  <c r="E153" i="32"/>
  <c r="E128" i="32"/>
  <c r="E112" i="32"/>
  <c r="E91" i="32"/>
  <c r="E75" i="32"/>
  <c r="E62" i="32"/>
  <c r="E56" i="32"/>
  <c r="E35" i="32"/>
  <c r="AI35" i="32"/>
  <c r="T21" i="32"/>
  <c r="E151" i="32"/>
  <c r="E149" i="32"/>
  <c r="E115" i="32"/>
  <c r="E94" i="32"/>
  <c r="E78" i="32"/>
  <c r="T185" i="32"/>
  <c r="T132" i="32"/>
  <c r="E131" i="32"/>
  <c r="E22" i="32"/>
  <c r="T41" i="32"/>
  <c r="E129" i="32"/>
  <c r="E118" i="32"/>
  <c r="E97" i="32"/>
  <c r="E92" i="32"/>
  <c r="E81" i="32"/>
  <c r="T94" i="32"/>
  <c r="T71" i="32"/>
  <c r="E156" i="32"/>
  <c r="E108" i="32"/>
  <c r="E71" i="32"/>
  <c r="E60" i="32"/>
  <c r="E57" i="32"/>
  <c r="E41" i="32"/>
  <c r="E37" i="32"/>
  <c r="E150" i="32"/>
  <c r="E98" i="32"/>
  <c r="E93" i="32"/>
  <c r="E38" i="32"/>
  <c r="E100" i="32"/>
  <c r="E17" i="32"/>
  <c r="E15" i="32"/>
  <c r="E13" i="32"/>
  <c r="E134" i="32"/>
  <c r="E77" i="32"/>
  <c r="E24" i="32"/>
  <c r="E40" i="32"/>
  <c r="E32" i="32"/>
  <c r="T189" i="32"/>
  <c r="T33" i="32"/>
  <c r="E61" i="32"/>
  <c r="E18" i="32"/>
  <c r="T136" i="32"/>
  <c r="E14" i="32"/>
  <c r="T96" i="32"/>
  <c r="T59" i="32"/>
  <c r="E33" i="32"/>
  <c r="E23" i="32"/>
  <c r="T108" i="32"/>
  <c r="E192" i="32"/>
  <c r="E54" i="32"/>
  <c r="E114" i="32"/>
  <c r="E52" i="32"/>
  <c r="E19" i="32"/>
  <c r="J114" i="32" l="1"/>
  <c r="J192" i="32"/>
  <c r="T120" i="32"/>
  <c r="Y108" i="32"/>
  <c r="Y96" i="32"/>
  <c r="J14" i="32"/>
  <c r="Y33" i="32"/>
  <c r="E44" i="32"/>
  <c r="J24" i="32"/>
  <c r="E25" i="32"/>
  <c r="J150" i="32"/>
  <c r="J37" i="32"/>
  <c r="J108" i="32"/>
  <c r="E120" i="32"/>
  <c r="Y71" i="32"/>
  <c r="J81" i="32"/>
  <c r="J118" i="32"/>
  <c r="J78" i="32"/>
  <c r="J115" i="32"/>
  <c r="Y21" i="32"/>
  <c r="AN35" i="32"/>
  <c r="J35" i="32"/>
  <c r="J56" i="32"/>
  <c r="J62" i="32"/>
  <c r="J75" i="32"/>
  <c r="J112" i="32"/>
  <c r="J153" i="32"/>
  <c r="J16" i="32"/>
  <c r="J21" i="32"/>
  <c r="J43" i="32"/>
  <c r="J99" i="32"/>
  <c r="Y53" i="32"/>
  <c r="E63" i="32"/>
  <c r="J155" i="32"/>
  <c r="J185" i="32"/>
  <c r="Y15" i="32"/>
  <c r="T63" i="32"/>
  <c r="J20" i="32"/>
  <c r="J34" i="32"/>
  <c r="J130" i="32"/>
  <c r="J136" i="32"/>
  <c r="J168" i="32"/>
  <c r="J172" i="32"/>
  <c r="Y24" i="32"/>
  <c r="Y134" i="32"/>
  <c r="AN78" i="32"/>
  <c r="Y118" i="32"/>
  <c r="Y169" i="32"/>
  <c r="AN38" i="32"/>
  <c r="E82" i="32"/>
  <c r="Y40" i="32"/>
  <c r="Y114" i="32"/>
  <c r="Y147" i="32"/>
  <c r="T177" i="32"/>
  <c r="AN60" i="32"/>
  <c r="Y77" i="32"/>
  <c r="Y14" i="32"/>
  <c r="Y20" i="32"/>
  <c r="Y157" i="32"/>
  <c r="AN19" i="32"/>
  <c r="AN41" i="32"/>
  <c r="J59" i="32"/>
  <c r="J90" i="32"/>
  <c r="J96" i="32"/>
  <c r="E139" i="32"/>
  <c r="J127" i="32"/>
  <c r="J133" i="32"/>
  <c r="J148" i="32"/>
  <c r="J166" i="32"/>
  <c r="J174" i="32"/>
  <c r="J187" i="32"/>
  <c r="J193" i="32"/>
  <c r="Y34" i="32"/>
  <c r="Y52" i="32"/>
  <c r="T139" i="32"/>
  <c r="AN17" i="32"/>
  <c r="AI44" i="32"/>
  <c r="AN32" i="32"/>
  <c r="J74" i="32"/>
  <c r="J80" i="32"/>
  <c r="J111" i="32"/>
  <c r="J117" i="32"/>
  <c r="J157" i="32"/>
  <c r="J58" i="32"/>
  <c r="E101" i="32"/>
  <c r="J147" i="32"/>
  <c r="Y16" i="32"/>
  <c r="Y22" i="32"/>
  <c r="Y90" i="32"/>
  <c r="E177" i="32"/>
  <c r="T25" i="32"/>
  <c r="AN109" i="32"/>
  <c r="Y92" i="32"/>
  <c r="Y98" i="32"/>
  <c r="Y148" i="32"/>
  <c r="Y188" i="32"/>
  <c r="Y195" i="32"/>
  <c r="AN73" i="32"/>
  <c r="AI158" i="32"/>
  <c r="Y39" i="32"/>
  <c r="Y70" i="32"/>
  <c r="T82" i="32"/>
  <c r="Y76" i="32"/>
  <c r="Y152" i="32"/>
  <c r="Y191" i="32"/>
  <c r="AI25" i="32"/>
  <c r="AN13" i="32"/>
  <c r="AN54" i="32"/>
  <c r="Y135" i="32"/>
  <c r="Y172" i="32"/>
  <c r="AN16" i="32"/>
  <c r="AN79" i="32"/>
  <c r="J191" i="32"/>
  <c r="T44" i="32"/>
  <c r="Y32" i="32"/>
  <c r="Y38" i="32"/>
  <c r="Y75" i="32"/>
  <c r="Y81" i="32"/>
  <c r="Y151" i="32"/>
  <c r="T196" i="32"/>
  <c r="Y194" i="32"/>
  <c r="E196" i="32"/>
  <c r="J184" i="32"/>
  <c r="J190" i="32"/>
  <c r="Y37" i="32"/>
  <c r="Y43" i="32"/>
  <c r="Y74" i="32"/>
  <c r="Y80" i="32"/>
  <c r="Y111" i="32"/>
  <c r="Y116" i="32"/>
  <c r="Y129" i="32"/>
  <c r="Y138" i="32"/>
  <c r="Y171" i="32"/>
  <c r="Y175" i="32"/>
  <c r="AN22" i="32"/>
  <c r="AN72" i="32"/>
  <c r="T101" i="32"/>
  <c r="Y89" i="32"/>
  <c r="Y190" i="32"/>
  <c r="E158" i="32"/>
  <c r="J152" i="32"/>
  <c r="Y42" i="32"/>
  <c r="T158" i="32"/>
  <c r="AN129" i="32"/>
  <c r="AI82" i="32"/>
  <c r="AN91" i="32"/>
  <c r="AN97" i="32"/>
  <c r="AI177" i="32"/>
  <c r="AN149" i="32"/>
  <c r="AN155" i="32"/>
  <c r="AN53" i="32"/>
  <c r="AN59" i="32"/>
  <c r="AN90" i="32"/>
  <c r="AN96" i="32"/>
  <c r="AI139" i="32"/>
  <c r="AN127" i="32"/>
  <c r="AN133" i="32"/>
  <c r="AN37" i="32"/>
  <c r="AN74" i="32"/>
  <c r="AN117" i="32"/>
  <c r="AN148" i="32"/>
  <c r="AN154" i="32"/>
  <c r="AN185" i="32"/>
  <c r="AI101" i="32"/>
  <c r="AN169" i="32"/>
  <c r="AN175" i="32"/>
  <c r="AI196" i="32"/>
  <c r="AN184" i="32"/>
  <c r="AN190" i="32"/>
  <c r="AI63" i="32"/>
  <c r="AN189" i="32"/>
  <c r="AN195" i="32"/>
  <c r="Y113" i="32"/>
  <c r="Y150" i="32"/>
  <c r="Y156" i="32"/>
  <c r="Y187" i="32"/>
  <c r="Y193" i="32"/>
  <c r="AN34" i="32"/>
  <c r="AN40" i="32"/>
  <c r="AN71" i="32"/>
  <c r="AN77" i="32"/>
  <c r="AN108" i="32"/>
  <c r="AI120" i="32"/>
  <c r="AN114" i="32"/>
  <c r="P163" i="2"/>
  <c r="P169" i="2"/>
  <c r="P154" i="2"/>
  <c r="P49" i="2"/>
  <c r="P161" i="2"/>
  <c r="AE281" i="2"/>
  <c r="AF281" i="2" s="1"/>
  <c r="AG281" i="2" s="1"/>
  <c r="AE278" i="2"/>
  <c r="AF278" i="2" s="1"/>
  <c r="AG278" i="2" s="1"/>
  <c r="AE275" i="2"/>
  <c r="AF275" i="2" s="1"/>
  <c r="AG275" i="2" s="1"/>
  <c r="AE272" i="2"/>
  <c r="AF272" i="2" s="1"/>
  <c r="AG272" i="2" s="1"/>
  <c r="AE269" i="2"/>
  <c r="AF269" i="2" s="1"/>
  <c r="AG269" i="2" s="1"/>
  <c r="AE266" i="2"/>
  <c r="AE279" i="2"/>
  <c r="AF279" i="2" s="1"/>
  <c r="AG279" i="2" s="1"/>
  <c r="AE268" i="2"/>
  <c r="AF268" i="2" s="1"/>
  <c r="AG268" i="2" s="1"/>
  <c r="AE282" i="2"/>
  <c r="AF282" i="2" s="1"/>
  <c r="AG282" i="2" s="1"/>
  <c r="AE271" i="2"/>
  <c r="AF271" i="2" s="1"/>
  <c r="AG271" i="2" s="1"/>
  <c r="AE277" i="2"/>
  <c r="AF277" i="2" s="1"/>
  <c r="AG277" i="2" s="1"/>
  <c r="AE270" i="2"/>
  <c r="AF270" i="2" s="1"/>
  <c r="AG270" i="2" s="1"/>
  <c r="AE280" i="2"/>
  <c r="AF280" i="2" s="1"/>
  <c r="AG280" i="2" s="1"/>
  <c r="AE273" i="2"/>
  <c r="AF273" i="2" s="1"/>
  <c r="AG273" i="2" s="1"/>
  <c r="AE276" i="2"/>
  <c r="AF276" i="2" s="1"/>
  <c r="AG276" i="2" s="1"/>
  <c r="AE274" i="2"/>
  <c r="AF274" i="2" s="1"/>
  <c r="AG274" i="2" s="1"/>
  <c r="AE267" i="2"/>
  <c r="AF267" i="2" s="1"/>
  <c r="AG267" i="2" s="1"/>
  <c r="P159" i="2"/>
  <c r="P166" i="2"/>
  <c r="N252" i="2"/>
  <c r="O252" i="2" s="1"/>
  <c r="P252" i="2" s="1"/>
  <c r="N248" i="2"/>
  <c r="O248" i="2" s="1"/>
  <c r="P248" i="2" s="1"/>
  <c r="N245" i="2"/>
  <c r="O245" i="2" s="1"/>
  <c r="P245" i="2" s="1"/>
  <c r="N242" i="2"/>
  <c r="O242" i="2" s="1"/>
  <c r="P242" i="2" s="1"/>
  <c r="N239" i="2"/>
  <c r="O239" i="2" s="1"/>
  <c r="P239" i="2" s="1"/>
  <c r="N251" i="2"/>
  <c r="O251" i="2" s="1"/>
  <c r="P251" i="2" s="1"/>
  <c r="N254" i="2"/>
  <c r="O254" i="2" s="1"/>
  <c r="P254" i="2" s="1"/>
  <c r="N250" i="2"/>
  <c r="O250" i="2" s="1"/>
  <c r="P250" i="2" s="1"/>
  <c r="N247" i="2"/>
  <c r="O247" i="2" s="1"/>
  <c r="P247" i="2" s="1"/>
  <c r="N244" i="2"/>
  <c r="O244" i="2" s="1"/>
  <c r="P244" i="2" s="1"/>
  <c r="N241" i="2"/>
  <c r="O241" i="2" s="1"/>
  <c r="P241" i="2" s="1"/>
  <c r="N238" i="2"/>
  <c r="N253" i="2"/>
  <c r="O253" i="2" s="1"/>
  <c r="P253" i="2" s="1"/>
  <c r="N246" i="2"/>
  <c r="O246" i="2" s="1"/>
  <c r="P246" i="2" s="1"/>
  <c r="P50" i="2"/>
  <c r="P56" i="2"/>
  <c r="P162" i="2"/>
  <c r="AE216" i="2"/>
  <c r="AF216" i="2" s="1"/>
  <c r="AG216" i="2" s="1"/>
  <c r="AE225" i="2"/>
  <c r="AF225" i="2" s="1"/>
  <c r="AG225" i="2" s="1"/>
  <c r="AE222" i="2"/>
  <c r="AF222" i="2" s="1"/>
  <c r="AG222" i="2" s="1"/>
  <c r="AE219" i="2"/>
  <c r="AF219" i="2" s="1"/>
  <c r="AG219" i="2" s="1"/>
  <c r="AE213" i="2"/>
  <c r="AF213" i="2" s="1"/>
  <c r="AG213" i="2" s="1"/>
  <c r="AE210" i="2"/>
  <c r="AE226" i="2"/>
  <c r="AF226" i="2" s="1"/>
  <c r="AG226" i="2" s="1"/>
  <c r="AE215" i="2"/>
  <c r="AF215" i="2" s="1"/>
  <c r="AG215" i="2" s="1"/>
  <c r="AE218" i="2"/>
  <c r="AF218" i="2" s="1"/>
  <c r="AG218" i="2" s="1"/>
  <c r="AE211" i="2"/>
  <c r="AF211" i="2" s="1"/>
  <c r="AG211" i="2" s="1"/>
  <c r="AE221" i="2"/>
  <c r="AF221" i="2" s="1"/>
  <c r="AG221" i="2" s="1"/>
  <c r="AE214" i="2"/>
  <c r="AF214" i="2" s="1"/>
  <c r="AG214" i="2" s="1"/>
  <c r="AE224" i="2"/>
  <c r="AF224" i="2" s="1"/>
  <c r="AG224" i="2" s="1"/>
  <c r="AE217" i="2"/>
  <c r="AF217" i="2" s="1"/>
  <c r="AG217" i="2" s="1"/>
  <c r="AE220" i="2"/>
  <c r="AF220" i="2" s="1"/>
  <c r="AG220" i="2" s="1"/>
  <c r="AE212" i="2"/>
  <c r="AF212" i="2" s="1"/>
  <c r="AG212" i="2" s="1"/>
  <c r="AE223" i="2"/>
  <c r="AF223" i="2" s="1"/>
  <c r="AG223" i="2" s="1"/>
  <c r="P57" i="2"/>
  <c r="N240" i="2"/>
  <c r="O240" i="2" s="1"/>
  <c r="P240" i="2" s="1"/>
  <c r="P46" i="2"/>
  <c r="P157" i="2"/>
  <c r="N249" i="2"/>
  <c r="O249" i="2" s="1"/>
  <c r="P249" i="2" s="1"/>
  <c r="P156" i="2"/>
  <c r="P58" i="2"/>
  <c r="P131" i="2"/>
  <c r="P137" i="2"/>
  <c r="P170" i="2"/>
  <c r="P158" i="2"/>
  <c r="AV113" i="2"/>
  <c r="AW113" i="2" s="1"/>
  <c r="AX113" i="2" s="1"/>
  <c r="AV110" i="2"/>
  <c r="AW110" i="2" s="1"/>
  <c r="AX110" i="2" s="1"/>
  <c r="AV107" i="2"/>
  <c r="AW107" i="2" s="1"/>
  <c r="AX107" i="2" s="1"/>
  <c r="AV104" i="2"/>
  <c r="AW104" i="2" s="1"/>
  <c r="AX104" i="2" s="1"/>
  <c r="AV101" i="2"/>
  <c r="AW101" i="2" s="1"/>
  <c r="AX101" i="2" s="1"/>
  <c r="AV98" i="2"/>
  <c r="AV112" i="2"/>
  <c r="AW112" i="2" s="1"/>
  <c r="AX112" i="2" s="1"/>
  <c r="AV109" i="2"/>
  <c r="AW109" i="2" s="1"/>
  <c r="AX109" i="2" s="1"/>
  <c r="AV106" i="2"/>
  <c r="AW106" i="2" s="1"/>
  <c r="AX106" i="2" s="1"/>
  <c r="AV103" i="2"/>
  <c r="AW103" i="2" s="1"/>
  <c r="AX103" i="2" s="1"/>
  <c r="AV100" i="2"/>
  <c r="AW100" i="2" s="1"/>
  <c r="AX100" i="2" s="1"/>
  <c r="AV111" i="2"/>
  <c r="AW111" i="2" s="1"/>
  <c r="AX111" i="2" s="1"/>
  <c r="AV102" i="2"/>
  <c r="AW102" i="2" s="1"/>
  <c r="AX102" i="2" s="1"/>
  <c r="AV114" i="2"/>
  <c r="AW114" i="2" s="1"/>
  <c r="AX114" i="2" s="1"/>
  <c r="AV105" i="2"/>
  <c r="AW105" i="2" s="1"/>
  <c r="AX105" i="2" s="1"/>
  <c r="AV282" i="2"/>
  <c r="AW282" i="2" s="1"/>
  <c r="AX282" i="2" s="1"/>
  <c r="AV279" i="2"/>
  <c r="AW279" i="2" s="1"/>
  <c r="AX279" i="2" s="1"/>
  <c r="AV276" i="2"/>
  <c r="AW276" i="2" s="1"/>
  <c r="AX276" i="2" s="1"/>
  <c r="AV273" i="2"/>
  <c r="AW273" i="2" s="1"/>
  <c r="AX273" i="2" s="1"/>
  <c r="AV270" i="2"/>
  <c r="AW270" i="2" s="1"/>
  <c r="AX270" i="2" s="1"/>
  <c r="AV267" i="2"/>
  <c r="AW267" i="2" s="1"/>
  <c r="AX267" i="2" s="1"/>
  <c r="AV280" i="2"/>
  <c r="AW280" i="2" s="1"/>
  <c r="AX280" i="2" s="1"/>
  <c r="AV275" i="2"/>
  <c r="AW275" i="2" s="1"/>
  <c r="AX275" i="2" s="1"/>
  <c r="AV271" i="2"/>
  <c r="AW271" i="2" s="1"/>
  <c r="AX271" i="2" s="1"/>
  <c r="AV266" i="2"/>
  <c r="AV281" i="2"/>
  <c r="AW281" i="2" s="1"/>
  <c r="AX281" i="2" s="1"/>
  <c r="AV277" i="2"/>
  <c r="AW277" i="2" s="1"/>
  <c r="AX277" i="2" s="1"/>
  <c r="AV272" i="2"/>
  <c r="AW272" i="2" s="1"/>
  <c r="AX272" i="2" s="1"/>
  <c r="AV268" i="2"/>
  <c r="AW268" i="2" s="1"/>
  <c r="AX268" i="2" s="1"/>
  <c r="J132" i="32"/>
  <c r="J15" i="32"/>
  <c r="AF46" i="2"/>
  <c r="AG46" i="2" s="1"/>
  <c r="AE244" i="2"/>
  <c r="AF244" i="2" s="1"/>
  <c r="AG244" i="2" s="1"/>
  <c r="AE166" i="2"/>
  <c r="AF166" i="2" s="1"/>
  <c r="AG166" i="2" s="1"/>
  <c r="AE160" i="2"/>
  <c r="AF160" i="2" s="1"/>
  <c r="AG160" i="2" s="1"/>
  <c r="AE154" i="2"/>
  <c r="AE169" i="2"/>
  <c r="AF169" i="2" s="1"/>
  <c r="AG169" i="2" s="1"/>
  <c r="AE163" i="2"/>
  <c r="AF163" i="2" s="1"/>
  <c r="AG163" i="2" s="1"/>
  <c r="AE157" i="2"/>
  <c r="AF157" i="2" s="1"/>
  <c r="AG157" i="2" s="1"/>
  <c r="AE168" i="2"/>
  <c r="AF168" i="2" s="1"/>
  <c r="AG168" i="2" s="1"/>
  <c r="AE161" i="2"/>
  <c r="AF161" i="2" s="1"/>
  <c r="AG161" i="2" s="1"/>
  <c r="AE167" i="2"/>
  <c r="AF167" i="2" s="1"/>
  <c r="AG167" i="2" s="1"/>
  <c r="AE156" i="2"/>
  <c r="AF156" i="2" s="1"/>
  <c r="AG156" i="2" s="1"/>
  <c r="AE170" i="2"/>
  <c r="AF170" i="2" s="1"/>
  <c r="AG170" i="2" s="1"/>
  <c r="AE159" i="2"/>
  <c r="AF159" i="2" s="1"/>
  <c r="AG159" i="2" s="1"/>
  <c r="N16" i="2"/>
  <c r="O16" i="2" s="1"/>
  <c r="P16" i="2" s="1"/>
  <c r="N22" i="2"/>
  <c r="O22" i="2" s="1"/>
  <c r="P22" i="2" s="1"/>
  <c r="N28" i="2"/>
  <c r="O28" i="2" s="1"/>
  <c r="P28" i="2" s="1"/>
  <c r="N198" i="2"/>
  <c r="O198" i="2" s="1"/>
  <c r="P198" i="2" s="1"/>
  <c r="N195" i="2"/>
  <c r="O195" i="2" s="1"/>
  <c r="P195" i="2" s="1"/>
  <c r="N192" i="2"/>
  <c r="O192" i="2" s="1"/>
  <c r="P192" i="2" s="1"/>
  <c r="N189" i="2"/>
  <c r="O189" i="2" s="1"/>
  <c r="P189" i="2" s="1"/>
  <c r="N186" i="2"/>
  <c r="O186" i="2" s="1"/>
  <c r="P186" i="2" s="1"/>
  <c r="N183" i="2"/>
  <c r="O183" i="2" s="1"/>
  <c r="P183" i="2" s="1"/>
  <c r="N194" i="2"/>
  <c r="O194" i="2" s="1"/>
  <c r="P194" i="2" s="1"/>
  <c r="N226" i="2"/>
  <c r="O226" i="2" s="1"/>
  <c r="P226" i="2" s="1"/>
  <c r="N216" i="2"/>
  <c r="O216" i="2" s="1"/>
  <c r="P216" i="2" s="1"/>
  <c r="N219" i="2"/>
  <c r="O219" i="2" s="1"/>
  <c r="P219" i="2" s="1"/>
  <c r="O269" i="2"/>
  <c r="P269" i="2" s="1"/>
  <c r="AF29" i="2"/>
  <c r="AG29" i="2" s="1"/>
  <c r="AE251" i="2"/>
  <c r="AF251" i="2" s="1"/>
  <c r="AG251" i="2" s="1"/>
  <c r="AV76" i="2"/>
  <c r="AW76" i="2" s="1"/>
  <c r="AX76" i="2" s="1"/>
  <c r="AV274" i="2"/>
  <c r="AW274" i="2" s="1"/>
  <c r="AX274" i="2" s="1"/>
  <c r="O126" i="2"/>
  <c r="P126" i="2" s="1"/>
  <c r="N19" i="2"/>
  <c r="O19" i="2" s="1"/>
  <c r="P19" i="2" s="1"/>
  <c r="N25" i="2"/>
  <c r="O25" i="2" s="1"/>
  <c r="P25" i="2" s="1"/>
  <c r="N71" i="2"/>
  <c r="O71" i="2" s="1"/>
  <c r="P71" i="2" s="1"/>
  <c r="N74" i="2"/>
  <c r="O74" i="2" s="1"/>
  <c r="P74" i="2" s="1"/>
  <c r="N77" i="2"/>
  <c r="O77" i="2" s="1"/>
  <c r="P77" i="2" s="1"/>
  <c r="N80" i="2"/>
  <c r="O80" i="2" s="1"/>
  <c r="P80" i="2" s="1"/>
  <c r="N83" i="2"/>
  <c r="O83" i="2" s="1"/>
  <c r="P83" i="2" s="1"/>
  <c r="N86" i="2"/>
  <c r="O86" i="2" s="1"/>
  <c r="P86" i="2" s="1"/>
  <c r="O101" i="2"/>
  <c r="P101" i="2" s="1"/>
  <c r="N115" i="2"/>
  <c r="N191" i="2"/>
  <c r="O191" i="2" s="1"/>
  <c r="P191" i="2" s="1"/>
  <c r="N223" i="2"/>
  <c r="O223" i="2" s="1"/>
  <c r="P223" i="2" s="1"/>
  <c r="AF25" i="2"/>
  <c r="AG25" i="2" s="1"/>
  <c r="AE111" i="2"/>
  <c r="AF111" i="2" s="1"/>
  <c r="AG111" i="2" s="1"/>
  <c r="AE165" i="2"/>
  <c r="AF165" i="2" s="1"/>
  <c r="AG165" i="2" s="1"/>
  <c r="O70" i="2"/>
  <c r="P70" i="2" s="1"/>
  <c r="AV86" i="2"/>
  <c r="AW86" i="2" s="1"/>
  <c r="AX86" i="2" s="1"/>
  <c r="AV79" i="2"/>
  <c r="AW79" i="2" s="1"/>
  <c r="AX79" i="2" s="1"/>
  <c r="AV72" i="2"/>
  <c r="AW72" i="2" s="1"/>
  <c r="AX72" i="2" s="1"/>
  <c r="AV82" i="2"/>
  <c r="AW82" i="2" s="1"/>
  <c r="AX82" i="2" s="1"/>
  <c r="AV75" i="2"/>
  <c r="AW75" i="2" s="1"/>
  <c r="AX75" i="2" s="1"/>
  <c r="AV71" i="2"/>
  <c r="AW71" i="2" s="1"/>
  <c r="AX71" i="2" s="1"/>
  <c r="AV81" i="2"/>
  <c r="AW81" i="2" s="1"/>
  <c r="AX81" i="2" s="1"/>
  <c r="AV77" i="2"/>
  <c r="AW77" i="2" s="1"/>
  <c r="AX77" i="2" s="1"/>
  <c r="AV70" i="2"/>
  <c r="AV84" i="2"/>
  <c r="AW84" i="2" s="1"/>
  <c r="AX84" i="2" s="1"/>
  <c r="AV80" i="2"/>
  <c r="AW80" i="2" s="1"/>
  <c r="AX80" i="2" s="1"/>
  <c r="AV73" i="2"/>
  <c r="AW73" i="2" s="1"/>
  <c r="AX73" i="2" s="1"/>
  <c r="AF53" i="2"/>
  <c r="AG53" i="2" s="1"/>
  <c r="AE246" i="2"/>
  <c r="AF246" i="2" s="1"/>
  <c r="AG246" i="2" s="1"/>
  <c r="J61" i="32"/>
  <c r="AX141" i="2"/>
  <c r="O266" i="2"/>
  <c r="P266" i="2" s="1"/>
  <c r="O277" i="2"/>
  <c r="P277" i="2" s="1"/>
  <c r="AE31" i="2"/>
  <c r="AV99" i="2"/>
  <c r="AW99" i="2" s="1"/>
  <c r="AX99" i="2" s="1"/>
  <c r="AF58" i="2"/>
  <c r="AG58" i="2" s="1"/>
  <c r="AF47" i="2"/>
  <c r="AG47" i="2" s="1"/>
  <c r="N14" i="2"/>
  <c r="N17" i="2"/>
  <c r="O17" i="2" s="1"/>
  <c r="P17" i="2" s="1"/>
  <c r="N20" i="2"/>
  <c r="O20" i="2" s="1"/>
  <c r="P20" i="2" s="1"/>
  <c r="N23" i="2"/>
  <c r="O23" i="2" s="1"/>
  <c r="P23" i="2" s="1"/>
  <c r="N26" i="2"/>
  <c r="O26" i="2" s="1"/>
  <c r="P26" i="2" s="1"/>
  <c r="N182" i="2"/>
  <c r="N210" i="2"/>
  <c r="N217" i="2"/>
  <c r="O217" i="2" s="1"/>
  <c r="P217" i="2" s="1"/>
  <c r="AF14" i="2"/>
  <c r="AG14" i="2" s="1"/>
  <c r="AF22" i="2"/>
  <c r="AG22" i="2" s="1"/>
  <c r="AF43" i="2"/>
  <c r="AG43" i="2" s="1"/>
  <c r="AF49" i="2"/>
  <c r="AG49" i="2" s="1"/>
  <c r="AE81" i="2"/>
  <c r="AF81" i="2" s="1"/>
  <c r="AG81" i="2" s="1"/>
  <c r="AE71" i="2"/>
  <c r="AF71" i="2" s="1"/>
  <c r="AG71" i="2" s="1"/>
  <c r="AE77" i="2"/>
  <c r="AF77" i="2" s="1"/>
  <c r="AG77" i="2" s="1"/>
  <c r="AE80" i="2"/>
  <c r="AF80" i="2" s="1"/>
  <c r="AG80" i="2" s="1"/>
  <c r="AE83" i="2"/>
  <c r="AF83" i="2" s="1"/>
  <c r="AG83" i="2" s="1"/>
  <c r="AE70" i="2"/>
  <c r="AE76" i="2"/>
  <c r="AF76" i="2" s="1"/>
  <c r="AG76" i="2" s="1"/>
  <c r="AE79" i="2"/>
  <c r="AF79" i="2" s="1"/>
  <c r="AG79" i="2" s="1"/>
  <c r="AE85" i="2"/>
  <c r="AF85" i="2" s="1"/>
  <c r="AG85" i="2" s="1"/>
  <c r="AE72" i="2"/>
  <c r="AF72" i="2" s="1"/>
  <c r="AG72" i="2" s="1"/>
  <c r="AE155" i="2"/>
  <c r="AF155" i="2" s="1"/>
  <c r="AG155" i="2" s="1"/>
  <c r="AF186" i="2"/>
  <c r="AG186" i="2" s="1"/>
  <c r="AV78" i="2"/>
  <c r="AW78" i="2" s="1"/>
  <c r="AX78" i="2" s="1"/>
  <c r="AV85" i="2"/>
  <c r="AW85" i="2" s="1"/>
  <c r="AX85" i="2" s="1"/>
  <c r="Y36" i="32"/>
  <c r="AE249" i="2"/>
  <c r="AF249" i="2" s="1"/>
  <c r="AG249" i="2" s="1"/>
  <c r="AE245" i="2"/>
  <c r="AF245" i="2" s="1"/>
  <c r="AG245" i="2" s="1"/>
  <c r="AE238" i="2"/>
  <c r="AE252" i="2"/>
  <c r="AF252" i="2" s="1"/>
  <c r="AG252" i="2" s="1"/>
  <c r="AE248" i="2"/>
  <c r="AF248" i="2" s="1"/>
  <c r="AG248" i="2" s="1"/>
  <c r="AE241" i="2"/>
  <c r="AF241" i="2" s="1"/>
  <c r="AG241" i="2" s="1"/>
  <c r="AE254" i="2"/>
  <c r="AF254" i="2" s="1"/>
  <c r="AG254" i="2" s="1"/>
  <c r="AE247" i="2"/>
  <c r="AF247" i="2" s="1"/>
  <c r="AG247" i="2" s="1"/>
  <c r="AE240" i="2"/>
  <c r="AF240" i="2" s="1"/>
  <c r="AG240" i="2" s="1"/>
  <c r="AE250" i="2"/>
  <c r="AF250" i="2" s="1"/>
  <c r="AG250" i="2" s="1"/>
  <c r="AE243" i="2"/>
  <c r="AF243" i="2" s="1"/>
  <c r="AG243" i="2" s="1"/>
  <c r="AE239" i="2"/>
  <c r="AF239" i="2" s="1"/>
  <c r="AG239" i="2" s="1"/>
  <c r="N72" i="2"/>
  <c r="O72" i="2" s="1"/>
  <c r="P72" i="2" s="1"/>
  <c r="N75" i="2"/>
  <c r="O75" i="2" s="1"/>
  <c r="P75" i="2" s="1"/>
  <c r="N78" i="2"/>
  <c r="O78" i="2" s="1"/>
  <c r="P78" i="2" s="1"/>
  <c r="N81" i="2"/>
  <c r="O81" i="2" s="1"/>
  <c r="P81" i="2" s="1"/>
  <c r="N224" i="2"/>
  <c r="O224" i="2" s="1"/>
  <c r="P224" i="2" s="1"/>
  <c r="AF18" i="2"/>
  <c r="AG18" i="2" s="1"/>
  <c r="AW225" i="2"/>
  <c r="AX225" i="2" s="1"/>
  <c r="AV269" i="2"/>
  <c r="AW269" i="2" s="1"/>
  <c r="AX269" i="2" s="1"/>
  <c r="AV278" i="2"/>
  <c r="AW278" i="2" s="1"/>
  <c r="AX278" i="2" s="1"/>
  <c r="N54" i="2"/>
  <c r="O54" i="2" s="1"/>
  <c r="P54" i="2" s="1"/>
  <c r="N128" i="2"/>
  <c r="O128" i="2" s="1"/>
  <c r="P128" i="2" s="1"/>
  <c r="N138" i="2"/>
  <c r="O138" i="2" s="1"/>
  <c r="P138" i="2" s="1"/>
  <c r="N168" i="2"/>
  <c r="O168" i="2" s="1"/>
  <c r="P168" i="2" s="1"/>
  <c r="N155" i="2"/>
  <c r="N160" i="2"/>
  <c r="O160" i="2" s="1"/>
  <c r="P160" i="2" s="1"/>
  <c r="N167" i="2"/>
  <c r="O167" i="2" s="1"/>
  <c r="P167" i="2" s="1"/>
  <c r="N214" i="2"/>
  <c r="O214" i="2" s="1"/>
  <c r="P214" i="2" s="1"/>
  <c r="N221" i="2"/>
  <c r="O221" i="2" s="1"/>
  <c r="P221" i="2" s="1"/>
  <c r="AF55" i="2"/>
  <c r="AG55" i="2" s="1"/>
  <c r="AF182" i="2"/>
  <c r="AG182" i="2" s="1"/>
  <c r="AV108" i="2"/>
  <c r="AW108" i="2" s="1"/>
  <c r="AX108" i="2" s="1"/>
  <c r="AW238" i="2"/>
  <c r="AX238" i="2" s="1"/>
  <c r="Y146" i="32"/>
  <c r="AE110" i="2"/>
  <c r="AF110" i="2" s="1"/>
  <c r="AG110" i="2" s="1"/>
  <c r="AE104" i="2"/>
  <c r="AF104" i="2" s="1"/>
  <c r="AG104" i="2" s="1"/>
  <c r="AE113" i="2"/>
  <c r="AF113" i="2" s="1"/>
  <c r="AG113" i="2" s="1"/>
  <c r="AE107" i="2"/>
  <c r="AF107" i="2" s="1"/>
  <c r="AG107" i="2" s="1"/>
  <c r="AE101" i="2"/>
  <c r="AF101" i="2" s="1"/>
  <c r="AG101" i="2" s="1"/>
  <c r="AE98" i="2"/>
  <c r="AE114" i="2"/>
  <c r="AF114" i="2" s="1"/>
  <c r="AG114" i="2" s="1"/>
  <c r="AE103" i="2"/>
  <c r="AF103" i="2" s="1"/>
  <c r="AG103" i="2" s="1"/>
  <c r="AE106" i="2"/>
  <c r="AF106" i="2" s="1"/>
  <c r="AG106" i="2" s="1"/>
  <c r="AE99" i="2"/>
  <c r="AF99" i="2" s="1"/>
  <c r="AG99" i="2" s="1"/>
  <c r="AE109" i="2"/>
  <c r="AF109" i="2" s="1"/>
  <c r="AG109" i="2" s="1"/>
  <c r="AE102" i="2"/>
  <c r="AF102" i="2" s="1"/>
  <c r="AG102" i="2" s="1"/>
  <c r="AE112" i="2"/>
  <c r="AF112" i="2" s="1"/>
  <c r="AG112" i="2" s="1"/>
  <c r="AE105" i="2"/>
  <c r="AF105" i="2" s="1"/>
  <c r="AG105" i="2" s="1"/>
  <c r="O113" i="2"/>
  <c r="P113" i="2" s="1"/>
  <c r="N164" i="2"/>
  <c r="O164" i="2" s="1"/>
  <c r="P164" i="2" s="1"/>
  <c r="N196" i="2"/>
  <c r="O196" i="2" s="1"/>
  <c r="P196" i="2" s="1"/>
  <c r="N211" i="2"/>
  <c r="O211" i="2" s="1"/>
  <c r="P211" i="2" s="1"/>
  <c r="AF44" i="2"/>
  <c r="AG44" i="2" s="1"/>
  <c r="AE162" i="2"/>
  <c r="AF162" i="2" s="1"/>
  <c r="AG162" i="2" s="1"/>
  <c r="AF187" i="2"/>
  <c r="AG187" i="2" s="1"/>
  <c r="AE242" i="2"/>
  <c r="AF242" i="2" s="1"/>
  <c r="AG242" i="2" s="1"/>
  <c r="AV26" i="2"/>
  <c r="AW26" i="2" s="1"/>
  <c r="AX26" i="2" s="1"/>
  <c r="AV19" i="2"/>
  <c r="AW19" i="2" s="1"/>
  <c r="AX19" i="2" s="1"/>
  <c r="AV15" i="2"/>
  <c r="AW15" i="2" s="1"/>
  <c r="AX15" i="2" s="1"/>
  <c r="AV29" i="2"/>
  <c r="AW29" i="2" s="1"/>
  <c r="AX29" i="2" s="1"/>
  <c r="AV22" i="2"/>
  <c r="AW22" i="2" s="1"/>
  <c r="AX22" i="2" s="1"/>
  <c r="AV18" i="2"/>
  <c r="AW18" i="2" s="1"/>
  <c r="AX18" i="2" s="1"/>
  <c r="AV25" i="2"/>
  <c r="AW25" i="2" s="1"/>
  <c r="AX25" i="2" s="1"/>
  <c r="AV21" i="2"/>
  <c r="AW21" i="2" s="1"/>
  <c r="AX21" i="2" s="1"/>
  <c r="AV14" i="2"/>
  <c r="AV28" i="2"/>
  <c r="AW28" i="2" s="1"/>
  <c r="AX28" i="2" s="1"/>
  <c r="AV24" i="2"/>
  <c r="AW24" i="2" s="1"/>
  <c r="AX24" i="2" s="1"/>
  <c r="AV17" i="2"/>
  <c r="AW17" i="2" s="1"/>
  <c r="AX17" i="2" s="1"/>
  <c r="J38" i="32"/>
  <c r="J116" i="32"/>
  <c r="AN153" i="32"/>
  <c r="O281" i="2"/>
  <c r="P281" i="2" s="1"/>
  <c r="N278" i="2"/>
  <c r="O278" i="2" s="1"/>
  <c r="P278" i="2" s="1"/>
  <c r="AE130" i="2"/>
  <c r="AF130" i="2" s="1"/>
  <c r="AG130" i="2" s="1"/>
  <c r="AE140" i="2"/>
  <c r="AF140" i="2" s="1"/>
  <c r="AG140" i="2" s="1"/>
  <c r="AV126" i="2"/>
  <c r="AV130" i="2"/>
  <c r="AW130" i="2" s="1"/>
  <c r="AX130" i="2" s="1"/>
  <c r="AV138" i="2"/>
  <c r="AW138" i="2" s="1"/>
  <c r="AX138" i="2" s="1"/>
  <c r="AV142" i="2"/>
  <c r="AW142" i="2" s="1"/>
  <c r="AX142" i="2" s="1"/>
  <c r="J52" i="32"/>
  <c r="AN100" i="32"/>
  <c r="J138" i="32"/>
  <c r="J195" i="32"/>
  <c r="AV131" i="2"/>
  <c r="AW131" i="2" s="1"/>
  <c r="AX131" i="2" s="1"/>
  <c r="J19" i="32"/>
  <c r="J39" i="32"/>
  <c r="Y62" i="32"/>
  <c r="AF183" i="2"/>
  <c r="AG183" i="2" s="1"/>
  <c r="AE194" i="2"/>
  <c r="AF194" i="2" s="1"/>
  <c r="AG194" i="2" s="1"/>
  <c r="AV127" i="2"/>
  <c r="AW127" i="2" s="1"/>
  <c r="AX127" i="2" s="1"/>
  <c r="AV135" i="2"/>
  <c r="AW135" i="2" s="1"/>
  <c r="AX135" i="2" s="1"/>
  <c r="AV139" i="2"/>
  <c r="AW139" i="2" s="1"/>
  <c r="AX139" i="2" s="1"/>
  <c r="AW226" i="2"/>
  <c r="AX226" i="2" s="1"/>
  <c r="AN42" i="32"/>
  <c r="AE138" i="2"/>
  <c r="AF138" i="2" s="1"/>
  <c r="AG138" i="2" s="1"/>
  <c r="AE191" i="2"/>
  <c r="AF191" i="2" s="1"/>
  <c r="AG191" i="2" s="1"/>
  <c r="AE198" i="2"/>
  <c r="AF198" i="2" s="1"/>
  <c r="AG198" i="2" s="1"/>
  <c r="AV128" i="2"/>
  <c r="AW128" i="2" s="1"/>
  <c r="AX128" i="2" s="1"/>
  <c r="AV140" i="2"/>
  <c r="AW140" i="2" s="1"/>
  <c r="AX140" i="2" s="1"/>
  <c r="AV198" i="2"/>
  <c r="AW198" i="2" s="1"/>
  <c r="AX198" i="2" s="1"/>
  <c r="AV195" i="2"/>
  <c r="AW195" i="2" s="1"/>
  <c r="AX195" i="2" s="1"/>
  <c r="AV192" i="2"/>
  <c r="AW192" i="2" s="1"/>
  <c r="AX192" i="2" s="1"/>
  <c r="AV189" i="2"/>
  <c r="AW189" i="2" s="1"/>
  <c r="AX189" i="2" s="1"/>
  <c r="AV186" i="2"/>
  <c r="AW186" i="2" s="1"/>
  <c r="AX186" i="2" s="1"/>
  <c r="AV183" i="2"/>
  <c r="AW183" i="2" s="1"/>
  <c r="AX183" i="2" s="1"/>
  <c r="AV185" i="2"/>
  <c r="AW185" i="2" s="1"/>
  <c r="AX185" i="2" s="1"/>
  <c r="AV190" i="2"/>
  <c r="AW190" i="2" s="1"/>
  <c r="AX190" i="2" s="1"/>
  <c r="AV194" i="2"/>
  <c r="AW194" i="2" s="1"/>
  <c r="AX194" i="2" s="1"/>
  <c r="AW251" i="2"/>
  <c r="AX251" i="2" s="1"/>
  <c r="J33" i="32"/>
  <c r="J72" i="32"/>
  <c r="Y94" i="32"/>
  <c r="AW44" i="2"/>
  <c r="AX44" i="2" s="1"/>
  <c r="AV132" i="2"/>
  <c r="AW132" i="2" s="1"/>
  <c r="AX132" i="2" s="1"/>
  <c r="AV136" i="2"/>
  <c r="AW136" i="2" s="1"/>
  <c r="AX136" i="2" s="1"/>
  <c r="AW167" i="2"/>
  <c r="AX167" i="2" s="1"/>
  <c r="AW217" i="2"/>
  <c r="AX217" i="2" s="1"/>
  <c r="J51" i="32"/>
  <c r="J55" i="32"/>
  <c r="Y13" i="32"/>
  <c r="Y174" i="32"/>
  <c r="AE132" i="2"/>
  <c r="AF132" i="2" s="1"/>
  <c r="AG132" i="2" s="1"/>
  <c r="AE188" i="2"/>
  <c r="AF188" i="2" s="1"/>
  <c r="AG188" i="2" s="1"/>
  <c r="AE195" i="2"/>
  <c r="AF195" i="2" s="1"/>
  <c r="AG195" i="2" s="1"/>
  <c r="AV54" i="2"/>
  <c r="AW54" i="2" s="1"/>
  <c r="AX54" i="2" s="1"/>
  <c r="AV57" i="2"/>
  <c r="AW57" i="2" s="1"/>
  <c r="AX57" i="2" s="1"/>
  <c r="AV51" i="2"/>
  <c r="AW51" i="2" s="1"/>
  <c r="AX51" i="2" s="1"/>
  <c r="AV48" i="2"/>
  <c r="AW48" i="2" s="1"/>
  <c r="AX48" i="2" s="1"/>
  <c r="AV45" i="2"/>
  <c r="AW45" i="2" s="1"/>
  <c r="AX45" i="2" s="1"/>
  <c r="AV42" i="2"/>
  <c r="AV52" i="2"/>
  <c r="AW52" i="2" s="1"/>
  <c r="AX52" i="2" s="1"/>
  <c r="AW169" i="2"/>
  <c r="AX169" i="2" s="1"/>
  <c r="AV253" i="2"/>
  <c r="AW253" i="2" s="1"/>
  <c r="AX253" i="2" s="1"/>
  <c r="AV240" i="2"/>
  <c r="AW240" i="2" s="1"/>
  <c r="AX240" i="2" s="1"/>
  <c r="AV243" i="2"/>
  <c r="AW243" i="2" s="1"/>
  <c r="AX243" i="2" s="1"/>
  <c r="AV246" i="2"/>
  <c r="AW246" i="2" s="1"/>
  <c r="AX246" i="2" s="1"/>
  <c r="AV249" i="2"/>
  <c r="AW249" i="2" s="1"/>
  <c r="AX249" i="2" s="1"/>
  <c r="AV239" i="2"/>
  <c r="AW239" i="2" s="1"/>
  <c r="AX239" i="2" s="1"/>
  <c r="AV245" i="2"/>
  <c r="AW245" i="2" s="1"/>
  <c r="AX245" i="2" s="1"/>
  <c r="AV254" i="2"/>
  <c r="AW254" i="2" s="1"/>
  <c r="AX254" i="2" s="1"/>
  <c r="AV241" i="2"/>
  <c r="AW241" i="2" s="1"/>
  <c r="AX241" i="2" s="1"/>
  <c r="AV247" i="2"/>
  <c r="AW247" i="2" s="1"/>
  <c r="AX247" i="2" s="1"/>
  <c r="J22" i="32"/>
  <c r="J79" i="32"/>
  <c r="J188" i="32"/>
  <c r="AV137" i="2"/>
  <c r="AW137" i="2" s="1"/>
  <c r="AX137" i="2" s="1"/>
  <c r="AW223" i="2"/>
  <c r="AX223" i="2" s="1"/>
  <c r="AW252" i="2"/>
  <c r="AX252" i="2" s="1"/>
  <c r="J42" i="32"/>
  <c r="N274" i="2"/>
  <c r="O274" i="2" s="1"/>
  <c r="P274" i="2" s="1"/>
  <c r="AE57" i="2"/>
  <c r="AF57" i="2" s="1"/>
  <c r="AG57" i="2" s="1"/>
  <c r="AE51" i="2"/>
  <c r="AF51" i="2" s="1"/>
  <c r="AG51" i="2" s="1"/>
  <c r="AE45" i="2"/>
  <c r="AF45" i="2" s="1"/>
  <c r="AG45" i="2" s="1"/>
  <c r="AE54" i="2"/>
  <c r="AF54" i="2" s="1"/>
  <c r="AG54" i="2" s="1"/>
  <c r="AE48" i="2"/>
  <c r="AF48" i="2" s="1"/>
  <c r="AG48" i="2" s="1"/>
  <c r="AE42" i="2"/>
  <c r="AE52" i="2"/>
  <c r="AF52" i="2" s="1"/>
  <c r="AG52" i="2" s="1"/>
  <c r="AE126" i="2"/>
  <c r="AE185" i="2"/>
  <c r="AF185" i="2" s="1"/>
  <c r="AG185" i="2" s="1"/>
  <c r="AE192" i="2"/>
  <c r="AF192" i="2" s="1"/>
  <c r="AG192" i="2" s="1"/>
  <c r="AV49" i="2"/>
  <c r="AW49" i="2" s="1"/>
  <c r="AX49" i="2" s="1"/>
  <c r="AV56" i="2"/>
  <c r="AW56" i="2" s="1"/>
  <c r="AX56" i="2" s="1"/>
  <c r="AV129" i="2"/>
  <c r="AW129" i="2" s="1"/>
  <c r="AX129" i="2" s="1"/>
  <c r="AV133" i="2"/>
  <c r="AW133" i="2" s="1"/>
  <c r="AX133" i="2" s="1"/>
  <c r="AW158" i="2"/>
  <c r="AX158" i="2" s="1"/>
  <c r="AV182" i="2"/>
  <c r="AV187" i="2"/>
  <c r="AW187" i="2" s="1"/>
  <c r="AX187" i="2" s="1"/>
  <c r="AV191" i="2"/>
  <c r="AW191" i="2" s="1"/>
  <c r="AX191" i="2" s="1"/>
  <c r="AV196" i="2"/>
  <c r="AW196" i="2" s="1"/>
  <c r="AX196" i="2" s="1"/>
  <c r="AW242" i="2"/>
  <c r="AX242" i="2" s="1"/>
  <c r="J13" i="32"/>
  <c r="J36" i="32"/>
  <c r="J109" i="32"/>
  <c r="J194" i="32"/>
  <c r="Y119" i="32"/>
  <c r="Y166" i="32"/>
  <c r="J77" i="32"/>
  <c r="J146" i="32"/>
  <c r="J175" i="32"/>
  <c r="Y59" i="32"/>
  <c r="Y154" i="32"/>
  <c r="J54" i="32"/>
  <c r="J98" i="32"/>
  <c r="J119" i="32"/>
  <c r="J134" i="32"/>
  <c r="J173" i="32"/>
  <c r="AN135" i="32"/>
  <c r="J57" i="32"/>
  <c r="J60" i="32"/>
  <c r="J71" i="32"/>
  <c r="J93" i="32"/>
  <c r="J95" i="32"/>
  <c r="J154" i="32"/>
  <c r="J156" i="32"/>
  <c r="J165" i="32"/>
  <c r="J169" i="32"/>
  <c r="J186" i="32"/>
  <c r="Y57" i="32"/>
  <c r="AV156" i="2"/>
  <c r="AW156" i="2" s="1"/>
  <c r="AX156" i="2" s="1"/>
  <c r="AV159" i="2"/>
  <c r="AW159" i="2" s="1"/>
  <c r="AX159" i="2" s="1"/>
  <c r="AV162" i="2"/>
  <c r="AW162" i="2" s="1"/>
  <c r="AX162" i="2" s="1"/>
  <c r="AV165" i="2"/>
  <c r="AW165" i="2" s="1"/>
  <c r="AX165" i="2" s="1"/>
  <c r="AV168" i="2"/>
  <c r="AW168" i="2" s="1"/>
  <c r="AX168" i="2" s="1"/>
  <c r="AV212" i="2"/>
  <c r="AW212" i="2" s="1"/>
  <c r="AX212" i="2" s="1"/>
  <c r="AV215" i="2"/>
  <c r="AW215" i="2" s="1"/>
  <c r="AX215" i="2" s="1"/>
  <c r="AV218" i="2"/>
  <c r="AW218" i="2" s="1"/>
  <c r="AX218" i="2" s="1"/>
  <c r="AV221" i="2"/>
  <c r="AW221" i="2" s="1"/>
  <c r="AX221" i="2" s="1"/>
  <c r="AV224" i="2"/>
  <c r="AW224" i="2" s="1"/>
  <c r="AX224" i="2" s="1"/>
  <c r="J23" i="32"/>
  <c r="J76" i="32"/>
  <c r="J92" i="32"/>
  <c r="J100" i="32"/>
  <c r="J113" i="32"/>
  <c r="J129" i="32"/>
  <c r="Y41" i="32"/>
  <c r="Y109" i="32"/>
  <c r="Y170" i="32"/>
  <c r="AN80" i="32"/>
  <c r="J97" i="32"/>
  <c r="Y115" i="32"/>
  <c r="J41" i="32"/>
  <c r="J53" i="32"/>
  <c r="J89" i="32"/>
  <c r="J131" i="32"/>
  <c r="Y72" i="32"/>
  <c r="Y176" i="32"/>
  <c r="J17" i="32"/>
  <c r="J18" i="32"/>
  <c r="J32" i="32"/>
  <c r="J40" i="32"/>
  <c r="J70" i="32"/>
  <c r="J94" i="32"/>
  <c r="J135" i="32"/>
  <c r="J151" i="32"/>
  <c r="Y19" i="32"/>
  <c r="AV154" i="2"/>
  <c r="AV157" i="2"/>
  <c r="AW157" i="2" s="1"/>
  <c r="AX157" i="2" s="1"/>
  <c r="AV160" i="2"/>
  <c r="AW160" i="2" s="1"/>
  <c r="AX160" i="2" s="1"/>
  <c r="AV163" i="2"/>
  <c r="AW163" i="2" s="1"/>
  <c r="AX163" i="2" s="1"/>
  <c r="AV166" i="2"/>
  <c r="AW166" i="2" s="1"/>
  <c r="AX166" i="2" s="1"/>
  <c r="AV210" i="2"/>
  <c r="AV213" i="2"/>
  <c r="AW213" i="2" s="1"/>
  <c r="AX213" i="2" s="1"/>
  <c r="AV216" i="2"/>
  <c r="AW216" i="2" s="1"/>
  <c r="AX216" i="2" s="1"/>
  <c r="AV219" i="2"/>
  <c r="AW219" i="2" s="1"/>
  <c r="AX219" i="2" s="1"/>
  <c r="AV222" i="2"/>
  <c r="AW222" i="2" s="1"/>
  <c r="AX222" i="2" s="1"/>
  <c r="J73" i="32"/>
  <c r="J91" i="32"/>
  <c r="J110" i="32"/>
  <c r="J128" i="32"/>
  <c r="Y130" i="32"/>
  <c r="AN115" i="32"/>
  <c r="J137" i="32"/>
  <c r="J189" i="32"/>
  <c r="Y51" i="32"/>
  <c r="Y78" i="32"/>
  <c r="Y185" i="32"/>
  <c r="Y189" i="32"/>
  <c r="AN18" i="32"/>
  <c r="J176" i="32"/>
  <c r="Y18" i="32"/>
  <c r="Y56" i="32"/>
  <c r="Y61" i="32"/>
  <c r="Y112" i="32"/>
  <c r="Y128" i="32"/>
  <c r="AN14" i="32"/>
  <c r="AN57" i="32"/>
  <c r="Y73" i="32"/>
  <c r="Y91" i="32"/>
  <c r="Y110" i="32"/>
  <c r="Y132" i="32"/>
  <c r="AN43" i="32"/>
  <c r="Y35" i="32"/>
  <c r="Y100" i="32"/>
  <c r="Y149" i="32"/>
  <c r="Y155" i="32"/>
  <c r="Y165" i="32"/>
  <c r="Y192" i="32"/>
  <c r="J171" i="32"/>
  <c r="Y17" i="32"/>
  <c r="Y23" i="32"/>
  <c r="Y55" i="32"/>
  <c r="Y184" i="32"/>
  <c r="Y186" i="32"/>
  <c r="AN23" i="32"/>
  <c r="AN36" i="32"/>
  <c r="AN55" i="32"/>
  <c r="AN131" i="32"/>
  <c r="Y60" i="32"/>
  <c r="Y79" i="32"/>
  <c r="Y93" i="32"/>
  <c r="Y97" i="32"/>
  <c r="AN111" i="32"/>
  <c r="Y58" i="32"/>
  <c r="AN21" i="32"/>
  <c r="J167" i="32"/>
  <c r="J170" i="32"/>
  <c r="Y117" i="32"/>
  <c r="Y127" i="32"/>
  <c r="Y133" i="32"/>
  <c r="Y168" i="32"/>
  <c r="AN89" i="32"/>
  <c r="J149" i="32"/>
  <c r="Y54" i="32"/>
  <c r="Y95" i="32"/>
  <c r="Y99" i="32"/>
  <c r="Y137" i="32"/>
  <c r="AN70" i="32"/>
  <c r="AN166" i="32"/>
  <c r="AN172" i="32"/>
  <c r="AN118" i="32"/>
  <c r="AN24" i="32"/>
  <c r="AN52" i="32"/>
  <c r="AN61" i="32"/>
  <c r="AN75" i="32"/>
  <c r="AN94" i="32"/>
  <c r="Y136" i="32"/>
  <c r="Y173" i="32"/>
  <c r="AN81" i="32"/>
  <c r="AN132" i="32"/>
  <c r="Y131" i="32"/>
  <c r="AN20" i="32"/>
  <c r="AN112" i="32"/>
  <c r="AN116" i="32"/>
  <c r="AN146" i="32"/>
  <c r="AN170" i="32"/>
  <c r="Y153" i="32"/>
  <c r="AN56" i="32"/>
  <c r="AN58" i="32"/>
  <c r="AN137" i="32"/>
  <c r="AN95" i="32"/>
  <c r="AN110" i="32"/>
  <c r="AN152" i="32"/>
  <c r="AN51" i="32"/>
  <c r="AN62" i="32"/>
  <c r="AN147" i="32"/>
  <c r="Y167" i="32"/>
  <c r="AN15" i="32"/>
  <c r="AN33" i="32"/>
  <c r="AN39" i="32"/>
  <c r="AN76" i="32"/>
  <c r="AN113" i="32"/>
  <c r="AN138" i="32"/>
  <c r="AN168" i="32"/>
  <c r="AN174" i="32"/>
  <c r="AN93" i="32"/>
  <c r="AN99" i="32"/>
  <c r="AN130" i="32"/>
  <c r="AN136" i="32"/>
  <c r="AN167" i="32"/>
  <c r="AN173" i="32"/>
  <c r="AN151" i="32"/>
  <c r="AN157" i="32"/>
  <c r="AN188" i="32"/>
  <c r="AN194" i="32"/>
  <c r="AN92" i="32"/>
  <c r="AN98" i="32"/>
  <c r="AN119" i="32"/>
  <c r="AN150" i="32"/>
  <c r="AN156" i="32"/>
  <c r="AN187" i="32"/>
  <c r="AN193" i="32"/>
  <c r="AN128" i="32"/>
  <c r="AN134" i="32"/>
  <c r="AN165" i="32"/>
  <c r="AN171" i="32"/>
  <c r="AN186" i="32"/>
  <c r="AN192" i="32"/>
  <c r="AN176" i="32"/>
  <c r="AN191" i="32"/>
  <c r="J20" i="60"/>
  <c r="E20" i="60" s="1"/>
  <c r="E10" i="60"/>
  <c r="J17" i="60"/>
  <c r="E17" i="60" s="1"/>
  <c r="E18" i="60"/>
  <c r="J19" i="60"/>
  <c r="E19" i="60" s="1"/>
  <c r="E21" i="60"/>
  <c r="AW70" i="2" l="1"/>
  <c r="AX70" i="2" s="1"/>
  <c r="AV87" i="2"/>
  <c r="AF238" i="2"/>
  <c r="AG238" i="2" s="1"/>
  <c r="AE255" i="2"/>
  <c r="N143" i="2"/>
  <c r="O155" i="2"/>
  <c r="P155" i="2" s="1"/>
  <c r="N171" i="2"/>
  <c r="O210" i="2"/>
  <c r="P210" i="2" s="1"/>
  <c r="N227" i="2"/>
  <c r="N283" i="2"/>
  <c r="AW98" i="2"/>
  <c r="AX98" i="2" s="1"/>
  <c r="AV115" i="2"/>
  <c r="N87" i="2"/>
  <c r="AE87" i="2"/>
  <c r="AF70" i="2"/>
  <c r="AG70" i="2" s="1"/>
  <c r="N116" i="2"/>
  <c r="O116" i="2" s="1"/>
  <c r="P116" i="2" s="1"/>
  <c r="O115" i="2"/>
  <c r="P115" i="2" s="1"/>
  <c r="AE32" i="2"/>
  <c r="AF32" i="2" s="1"/>
  <c r="AG32" i="2" s="1"/>
  <c r="AF31" i="2"/>
  <c r="AG31" i="2" s="1"/>
  <c r="N199" i="2"/>
  <c r="O182" i="2"/>
  <c r="P182" i="2" s="1"/>
  <c r="AE143" i="2"/>
  <c r="AF126" i="2"/>
  <c r="AG126" i="2" s="1"/>
  <c r="AW42" i="2"/>
  <c r="AX42" i="2" s="1"/>
  <c r="AV59" i="2"/>
  <c r="AV255" i="2"/>
  <c r="N59" i="2"/>
  <c r="N255" i="2"/>
  <c r="O238" i="2"/>
  <c r="P238" i="2" s="1"/>
  <c r="AW154" i="2"/>
  <c r="AX154" i="2" s="1"/>
  <c r="AV171" i="2"/>
  <c r="AV143" i="2"/>
  <c r="AW126" i="2"/>
  <c r="AX126" i="2" s="1"/>
  <c r="AF42" i="2"/>
  <c r="AG42" i="2" s="1"/>
  <c r="AE59" i="2"/>
  <c r="AW14" i="2"/>
  <c r="AX14" i="2" s="1"/>
  <c r="AV31" i="2"/>
  <c r="AF154" i="2"/>
  <c r="AG154" i="2" s="1"/>
  <c r="AE171" i="2"/>
  <c r="AW266" i="2"/>
  <c r="AX266" i="2" s="1"/>
  <c r="AV283" i="2"/>
  <c r="AF210" i="2"/>
  <c r="AG210" i="2" s="1"/>
  <c r="AE227" i="2"/>
  <c r="AF266" i="2"/>
  <c r="AG266" i="2" s="1"/>
  <c r="AE283" i="2"/>
  <c r="AF98" i="2"/>
  <c r="AG98" i="2" s="1"/>
  <c r="AE115" i="2"/>
  <c r="AE199" i="2"/>
  <c r="O14" i="2"/>
  <c r="P14" i="2" s="1"/>
  <c r="N31" i="2"/>
  <c r="AW210" i="2"/>
  <c r="AX210" i="2" s="1"/>
  <c r="AV227" i="2"/>
  <c r="AV199" i="2"/>
  <c r="AW182" i="2"/>
  <c r="AX182" i="2" s="1"/>
  <c r="I21" i="66" a="1"/>
  <c r="I21" i="66" s="1"/>
  <c r="I23" i="66" a="1"/>
  <c r="I23" i="66" s="1"/>
  <c r="I13" i="66" a="1"/>
  <c r="I13" i="66" s="1"/>
  <c r="L13" i="66"/>
  <c r="P16" i="60"/>
  <c r="P15" i="60"/>
  <c r="K15" i="60" s="1"/>
  <c r="K14" i="60"/>
  <c r="P13" i="60"/>
  <c r="K13" i="60" s="1"/>
  <c r="P12" i="60"/>
  <c r="K12" i="60" s="1"/>
  <c r="P11" i="60"/>
  <c r="K11" i="60" s="1"/>
  <c r="T3" i="70"/>
  <c r="U24" i="32"/>
  <c r="U18" i="32"/>
  <c r="U19" i="32"/>
  <c r="U13" i="32"/>
  <c r="U14" i="32"/>
  <c r="U20" i="32"/>
  <c r="U17" i="32"/>
  <c r="U23" i="32"/>
  <c r="U16" i="32"/>
  <c r="U22" i="32"/>
  <c r="U15" i="32"/>
  <c r="U21" i="32"/>
  <c r="F71" i="32"/>
  <c r="F77" i="32"/>
  <c r="F79" i="32"/>
  <c r="F76" i="32"/>
  <c r="F73" i="32"/>
  <c r="F70" i="32"/>
  <c r="F78" i="32"/>
  <c r="F72" i="32"/>
  <c r="F75" i="32"/>
  <c r="F81" i="32"/>
  <c r="F74" i="32"/>
  <c r="F80" i="32"/>
  <c r="E16" i="66"/>
  <c r="E22" i="66"/>
  <c r="E14" i="66"/>
  <c r="E21" i="66"/>
  <c r="E15" i="66"/>
  <c r="E23" i="66"/>
  <c r="E20" i="66"/>
  <c r="E19" i="66"/>
  <c r="E17" i="66"/>
  <c r="E18" i="66"/>
  <c r="E24" i="66"/>
  <c r="K80" i="32" l="1"/>
  <c r="M80" i="32"/>
  <c r="N80" i="32" s="1"/>
  <c r="K74" i="32"/>
  <c r="M74" i="32"/>
  <c r="N74" i="32" s="1"/>
  <c r="K81" i="32"/>
  <c r="M81" i="32"/>
  <c r="N81" i="32" s="1"/>
  <c r="K75" i="32"/>
  <c r="M75" i="32"/>
  <c r="N75" i="32" s="1"/>
  <c r="K72" i="32"/>
  <c r="M72" i="32"/>
  <c r="N72" i="32" s="1"/>
  <c r="K78" i="32"/>
  <c r="M78" i="32"/>
  <c r="N78" i="32" s="1"/>
  <c r="F82" i="32"/>
  <c r="M70" i="32"/>
  <c r="K70" i="32"/>
  <c r="K73" i="32"/>
  <c r="M73" i="32"/>
  <c r="N73" i="32" s="1"/>
  <c r="K76" i="32"/>
  <c r="M76" i="32"/>
  <c r="N76" i="32" s="1"/>
  <c r="M79" i="32"/>
  <c r="N79" i="32" s="1"/>
  <c r="K79" i="32"/>
  <c r="K77" i="32"/>
  <c r="M77" i="32"/>
  <c r="N77" i="32" s="1"/>
  <c r="K71" i="32"/>
  <c r="M71" i="32"/>
  <c r="N71" i="32" s="1"/>
  <c r="AB21" i="32"/>
  <c r="AC21" i="32" s="1"/>
  <c r="Z21" i="32"/>
  <c r="AB15" i="32"/>
  <c r="AC15" i="32" s="1"/>
  <c r="Z15" i="32"/>
  <c r="Z22" i="32"/>
  <c r="AB22" i="32"/>
  <c r="AC22" i="32" s="1"/>
  <c r="Z16" i="32"/>
  <c r="AB16" i="32"/>
  <c r="AC16" i="32" s="1"/>
  <c r="Z23" i="32"/>
  <c r="AB23" i="32"/>
  <c r="AC23" i="32" s="1"/>
  <c r="Z17" i="32"/>
  <c r="AB17" i="32"/>
  <c r="AC17" i="32" s="1"/>
  <c r="Z20" i="32"/>
  <c r="AB20" i="32"/>
  <c r="AC20" i="32" s="1"/>
  <c r="Z14" i="32"/>
  <c r="AB14" i="32"/>
  <c r="AC14" i="32" s="1"/>
  <c r="U25" i="32"/>
  <c r="AB13" i="32"/>
  <c r="Z13" i="32"/>
  <c r="Z19" i="32"/>
  <c r="AB19" i="32"/>
  <c r="AC19" i="32" s="1"/>
  <c r="Z18" i="32"/>
  <c r="AB18" i="32"/>
  <c r="AC18" i="32" s="1"/>
  <c r="Z24" i="32"/>
  <c r="AB24" i="32"/>
  <c r="AC24" i="32" s="1"/>
  <c r="AE200" i="2"/>
  <c r="AF200" i="2" s="1"/>
  <c r="AG200" i="2" s="1"/>
  <c r="AF199" i="2"/>
  <c r="AG199" i="2" s="1"/>
  <c r="AE60" i="2"/>
  <c r="AF60" i="2" s="1"/>
  <c r="AG60" i="2" s="1"/>
  <c r="AF59" i="2"/>
  <c r="AG59" i="2" s="1"/>
  <c r="O171" i="2"/>
  <c r="P171" i="2" s="1"/>
  <c r="N172" i="2"/>
  <c r="O172" i="2" s="1"/>
  <c r="P172" i="2" s="1"/>
  <c r="AF115" i="2"/>
  <c r="AG115" i="2" s="1"/>
  <c r="AE116" i="2"/>
  <c r="AF116" i="2" s="1"/>
  <c r="AG116" i="2" s="1"/>
  <c r="O199" i="2"/>
  <c r="P199" i="2" s="1"/>
  <c r="N200" i="2"/>
  <c r="O200" i="2" s="1"/>
  <c r="P200" i="2" s="1"/>
  <c r="AV172" i="2"/>
  <c r="AW172" i="2" s="1"/>
  <c r="AX172" i="2" s="1"/>
  <c r="AW171" i="2"/>
  <c r="AX171" i="2" s="1"/>
  <c r="AV284" i="2"/>
  <c r="AW284" i="2" s="1"/>
  <c r="AX284" i="2" s="1"/>
  <c r="AW283" i="2"/>
  <c r="AX283" i="2" s="1"/>
  <c r="O143" i="2"/>
  <c r="P143" i="2" s="1"/>
  <c r="N144" i="2"/>
  <c r="O144" i="2" s="1"/>
  <c r="P144" i="2" s="1"/>
  <c r="N228" i="2"/>
  <c r="O228" i="2" s="1"/>
  <c r="P228" i="2" s="1"/>
  <c r="O227" i="2"/>
  <c r="P227" i="2" s="1"/>
  <c r="AV144" i="2"/>
  <c r="AW144" i="2" s="1"/>
  <c r="AX144" i="2" s="1"/>
  <c r="AW143" i="2"/>
  <c r="AX143" i="2" s="1"/>
  <c r="AE228" i="2"/>
  <c r="AF228" i="2" s="1"/>
  <c r="AG228" i="2" s="1"/>
  <c r="AF227" i="2"/>
  <c r="AG227" i="2" s="1"/>
  <c r="AE256" i="2"/>
  <c r="AF256" i="2" s="1"/>
  <c r="AG256" i="2" s="1"/>
  <c r="AF255" i="2"/>
  <c r="AG255" i="2" s="1"/>
  <c r="AV116" i="2"/>
  <c r="AW116" i="2" s="1"/>
  <c r="AX116" i="2" s="1"/>
  <c r="AW115" i="2"/>
  <c r="AX115" i="2" s="1"/>
  <c r="AE144" i="2"/>
  <c r="AF144" i="2" s="1"/>
  <c r="AG144" i="2" s="1"/>
  <c r="AF143" i="2"/>
  <c r="AG143" i="2" s="1"/>
  <c r="O283" i="2"/>
  <c r="P283" i="2" s="1"/>
  <c r="N284" i="2"/>
  <c r="O284" i="2" s="1"/>
  <c r="P284" i="2" s="1"/>
  <c r="AE284" i="2"/>
  <c r="AF284" i="2" s="1"/>
  <c r="AG284" i="2" s="1"/>
  <c r="AF283" i="2"/>
  <c r="AG283" i="2" s="1"/>
  <c r="AV200" i="2"/>
  <c r="AW200" i="2" s="1"/>
  <c r="AX200" i="2" s="1"/>
  <c r="AW199" i="2"/>
  <c r="AX199" i="2" s="1"/>
  <c r="AE172" i="2"/>
  <c r="AF172" i="2" s="1"/>
  <c r="AG172" i="2" s="1"/>
  <c r="AF171" i="2"/>
  <c r="AG171" i="2" s="1"/>
  <c r="N32" i="2"/>
  <c r="O32" i="2" s="1"/>
  <c r="P32" i="2" s="1"/>
  <c r="O31" i="2"/>
  <c r="P31" i="2" s="1"/>
  <c r="AV256" i="2"/>
  <c r="AW256" i="2" s="1"/>
  <c r="AX256" i="2" s="1"/>
  <c r="AW255" i="2"/>
  <c r="AX255" i="2" s="1"/>
  <c r="AF87" i="2"/>
  <c r="AG87" i="2" s="1"/>
  <c r="AE88" i="2"/>
  <c r="AF88" i="2" s="1"/>
  <c r="AG88" i="2" s="1"/>
  <c r="AV88" i="2"/>
  <c r="AW88" i="2" s="1"/>
  <c r="AX88" i="2" s="1"/>
  <c r="AW87" i="2"/>
  <c r="AX87" i="2" s="1"/>
  <c r="AV228" i="2"/>
  <c r="AW228" i="2" s="1"/>
  <c r="AX228" i="2" s="1"/>
  <c r="AW227" i="2"/>
  <c r="AX227" i="2" s="1"/>
  <c r="N256" i="2"/>
  <c r="O256" i="2" s="1"/>
  <c r="P256" i="2" s="1"/>
  <c r="O255" i="2"/>
  <c r="P255" i="2" s="1"/>
  <c r="N60" i="2"/>
  <c r="O60" i="2" s="1"/>
  <c r="P60" i="2" s="1"/>
  <c r="O59" i="2"/>
  <c r="P59" i="2" s="1"/>
  <c r="AW31" i="2"/>
  <c r="AX31" i="2" s="1"/>
  <c r="AV32" i="2"/>
  <c r="AW32" i="2" s="1"/>
  <c r="AX32" i="2" s="1"/>
  <c r="AV60" i="2"/>
  <c r="AW60" i="2" s="1"/>
  <c r="AX60" i="2" s="1"/>
  <c r="AW59" i="2"/>
  <c r="AX59" i="2" s="1"/>
  <c r="O87" i="2"/>
  <c r="P87" i="2" s="1"/>
  <c r="N88" i="2"/>
  <c r="O88" i="2" s="1"/>
  <c r="P88" i="2" s="1"/>
  <c r="J23" i="66"/>
  <c r="J18" i="66"/>
  <c r="J17" i="66"/>
  <c r="J16" i="66"/>
  <c r="J21" i="66"/>
  <c r="J14" i="66"/>
  <c r="J20" i="66"/>
  <c r="J15" i="66"/>
  <c r="J24" i="66"/>
  <c r="J19" i="66"/>
  <c r="J22" i="66"/>
  <c r="J11" i="60"/>
  <c r="E11" i="60" s="1"/>
  <c r="R14" i="66" s="1"/>
  <c r="J12" i="60"/>
  <c r="E12" i="60" s="1"/>
  <c r="J13" i="60"/>
  <c r="E13" i="60" s="1"/>
  <c r="R16" i="66" s="1"/>
  <c r="J15" i="60"/>
  <c r="E15" i="60" s="1"/>
  <c r="R18" i="66" s="1"/>
  <c r="J14" i="60"/>
  <c r="E14" i="60" s="1"/>
  <c r="K16" i="60"/>
  <c r="H13" i="66" a="1"/>
  <c r="H13" i="66" s="1"/>
  <c r="AJ14" i="32"/>
  <c r="AJ21" i="32"/>
  <c r="AJ17" i="32"/>
  <c r="AJ20" i="32"/>
  <c r="AJ16" i="32"/>
  <c r="AJ23" i="32"/>
  <c r="AJ15" i="32"/>
  <c r="AJ22" i="32"/>
  <c r="AJ18" i="32"/>
  <c r="AJ24" i="32"/>
  <c r="AJ13" i="32"/>
  <c r="AJ19" i="32"/>
  <c r="AJ115" i="32"/>
  <c r="AJ109" i="32"/>
  <c r="AJ108" i="32"/>
  <c r="AJ114" i="32"/>
  <c r="AJ113" i="32"/>
  <c r="AJ119" i="32"/>
  <c r="AJ112" i="32"/>
  <c r="AJ118" i="32"/>
  <c r="AJ111" i="32"/>
  <c r="AJ117" i="32"/>
  <c r="AJ110" i="32"/>
  <c r="AJ116" i="32"/>
  <c r="U174" i="32"/>
  <c r="U170" i="32"/>
  <c r="U169" i="32"/>
  <c r="U173" i="32"/>
  <c r="U168" i="32"/>
  <c r="U176" i="32"/>
  <c r="U167" i="32"/>
  <c r="U175" i="32"/>
  <c r="U165" i="32"/>
  <c r="U171" i="32"/>
  <c r="U166" i="32"/>
  <c r="U172" i="32"/>
  <c r="U110" i="32"/>
  <c r="U114" i="32"/>
  <c r="U109" i="32"/>
  <c r="U115" i="32"/>
  <c r="U119" i="32"/>
  <c r="U108" i="32"/>
  <c r="U113" i="32"/>
  <c r="U118" i="32"/>
  <c r="U112" i="32"/>
  <c r="U117" i="32"/>
  <c r="U111" i="32"/>
  <c r="U116" i="32"/>
  <c r="F165" i="32"/>
  <c r="F171" i="32"/>
  <c r="F173" i="32"/>
  <c r="F167" i="32"/>
  <c r="F176" i="32"/>
  <c r="F172" i="32"/>
  <c r="F166" i="32"/>
  <c r="F170" i="32"/>
  <c r="F169" i="32"/>
  <c r="F175" i="32"/>
  <c r="F168" i="32"/>
  <c r="F174" i="32"/>
  <c r="AJ38" i="32"/>
  <c r="AJ41" i="32"/>
  <c r="AJ32" i="32"/>
  <c r="AJ35" i="32"/>
  <c r="AJ34" i="32"/>
  <c r="AJ40" i="32"/>
  <c r="AJ33" i="32"/>
  <c r="AJ39" i="32"/>
  <c r="AJ36" i="32"/>
  <c r="AJ37" i="32"/>
  <c r="AJ43" i="32"/>
  <c r="AJ42" i="32"/>
  <c r="U189" i="32"/>
  <c r="U185" i="32"/>
  <c r="U192" i="32"/>
  <c r="U194" i="32"/>
  <c r="U188" i="32"/>
  <c r="U195" i="32"/>
  <c r="U191" i="32"/>
  <c r="U187" i="32"/>
  <c r="U193" i="32"/>
  <c r="U186" i="32"/>
  <c r="U184" i="32"/>
  <c r="U190" i="32"/>
  <c r="AJ146" i="32"/>
  <c r="AJ151" i="32"/>
  <c r="AJ157" i="32"/>
  <c r="AJ150" i="32"/>
  <c r="AJ156" i="32"/>
  <c r="AJ149" i="32"/>
  <c r="AJ155" i="32"/>
  <c r="AJ148" i="32"/>
  <c r="AJ154" i="32"/>
  <c r="AJ147" i="32"/>
  <c r="AJ153" i="32"/>
  <c r="AJ152" i="32"/>
  <c r="AJ57" i="32"/>
  <c r="AJ52" i="32"/>
  <c r="AJ58" i="32"/>
  <c r="AJ51" i="32"/>
  <c r="AJ55" i="32"/>
  <c r="AJ61" i="32"/>
  <c r="AJ54" i="32"/>
  <c r="AJ60" i="32"/>
  <c r="AJ53" i="32"/>
  <c r="AJ59" i="32"/>
  <c r="AJ56" i="32"/>
  <c r="AJ62" i="32"/>
  <c r="U128" i="32"/>
  <c r="U132" i="32"/>
  <c r="U127" i="32"/>
  <c r="U133" i="32"/>
  <c r="U137" i="32"/>
  <c r="U136" i="32"/>
  <c r="U131" i="32"/>
  <c r="U130" i="32"/>
  <c r="U134" i="32"/>
  <c r="U138" i="32"/>
  <c r="U129" i="32"/>
  <c r="U135" i="32"/>
  <c r="AJ188" i="32"/>
  <c r="AJ194" i="32"/>
  <c r="AJ187" i="32"/>
  <c r="AJ193" i="32"/>
  <c r="AJ186" i="32"/>
  <c r="AJ192" i="32"/>
  <c r="AJ185" i="32"/>
  <c r="AJ191" i="32"/>
  <c r="AJ184" i="32"/>
  <c r="AJ190" i="32"/>
  <c r="AJ189" i="32"/>
  <c r="AJ195" i="32"/>
  <c r="AJ78" i="32"/>
  <c r="AJ71" i="32"/>
  <c r="AJ77" i="32"/>
  <c r="AJ70" i="32"/>
  <c r="AJ72" i="32"/>
  <c r="AJ76" i="32"/>
  <c r="AJ75" i="32"/>
  <c r="AJ81" i="32"/>
  <c r="AJ74" i="32"/>
  <c r="AJ80" i="32"/>
  <c r="AJ73" i="32"/>
  <c r="AJ79" i="32"/>
  <c r="F15" i="66"/>
  <c r="F23" i="66"/>
  <c r="F16" i="66"/>
  <c r="F24" i="66"/>
  <c r="F18" i="66"/>
  <c r="F14" i="66"/>
  <c r="F20" i="66"/>
  <c r="F19" i="66"/>
  <c r="F21" i="66"/>
  <c r="F22" i="66"/>
  <c r="F17" i="66"/>
  <c r="F20" i="32"/>
  <c r="F22" i="32"/>
  <c r="F24" i="32"/>
  <c r="F14" i="32"/>
  <c r="F19" i="32"/>
  <c r="F18" i="32"/>
  <c r="F23" i="32"/>
  <c r="F13" i="32"/>
  <c r="F17" i="32"/>
  <c r="F16" i="32"/>
  <c r="F15" i="32"/>
  <c r="F21" i="32"/>
  <c r="F41" i="32"/>
  <c r="F37" i="32"/>
  <c r="F34" i="32"/>
  <c r="F42" i="32"/>
  <c r="F33" i="32"/>
  <c r="F32" i="32"/>
  <c r="F36" i="32"/>
  <c r="F40" i="32"/>
  <c r="F35" i="32"/>
  <c r="F43" i="32"/>
  <c r="F39" i="32"/>
  <c r="F38" i="32"/>
  <c r="F93" i="32"/>
  <c r="F100" i="32"/>
  <c r="F97" i="32"/>
  <c r="F94" i="32"/>
  <c r="F91" i="32"/>
  <c r="F99" i="32"/>
  <c r="F92" i="32"/>
  <c r="F98" i="32"/>
  <c r="F90" i="32"/>
  <c r="F96" i="32"/>
  <c r="F89" i="32"/>
  <c r="F95" i="32"/>
  <c r="U38" i="32"/>
  <c r="U43" i="32"/>
  <c r="U32" i="32"/>
  <c r="U41" i="32"/>
  <c r="U35" i="32"/>
  <c r="U37" i="32"/>
  <c r="U40" i="32"/>
  <c r="U42" i="32"/>
  <c r="U34" i="32"/>
  <c r="U36" i="32"/>
  <c r="U33" i="32"/>
  <c r="U39" i="32"/>
  <c r="U94" i="32"/>
  <c r="U100" i="32"/>
  <c r="U93" i="32"/>
  <c r="U99" i="32"/>
  <c r="U92" i="32"/>
  <c r="U98" i="32"/>
  <c r="U91" i="32"/>
  <c r="U97" i="32"/>
  <c r="U90" i="32"/>
  <c r="U96" i="32"/>
  <c r="U89" i="32"/>
  <c r="U95" i="32"/>
  <c r="AJ166" i="32"/>
  <c r="AJ172" i="32"/>
  <c r="AJ165" i="32"/>
  <c r="AJ171" i="32"/>
  <c r="AJ170" i="32"/>
  <c r="AJ176" i="32"/>
  <c r="AJ169" i="32"/>
  <c r="AJ175" i="32"/>
  <c r="AJ168" i="32"/>
  <c r="AJ174" i="32"/>
  <c r="AJ167" i="32"/>
  <c r="AJ173" i="32"/>
  <c r="U146" i="32"/>
  <c r="U149" i="32"/>
  <c r="U151" i="32"/>
  <c r="U153" i="32"/>
  <c r="U157" i="32"/>
  <c r="U156" i="32"/>
  <c r="U148" i="32"/>
  <c r="U152" i="32"/>
  <c r="U155" i="32"/>
  <c r="U147" i="32"/>
  <c r="U150" i="32"/>
  <c r="U154" i="32"/>
  <c r="F108" i="32"/>
  <c r="F114" i="32"/>
  <c r="F119" i="32"/>
  <c r="F116" i="32"/>
  <c r="F113" i="32"/>
  <c r="F110" i="32"/>
  <c r="F115" i="32"/>
  <c r="F109" i="32"/>
  <c r="F112" i="32"/>
  <c r="F118" i="32"/>
  <c r="F111" i="32"/>
  <c r="F117" i="32"/>
  <c r="F186" i="32"/>
  <c r="F191" i="32"/>
  <c r="F185" i="32"/>
  <c r="F184" i="32"/>
  <c r="F188" i="32"/>
  <c r="F194" i="32"/>
  <c r="F190" i="32"/>
  <c r="F187" i="32"/>
  <c r="F193" i="32"/>
  <c r="F189" i="32"/>
  <c r="F195" i="32"/>
  <c r="F192" i="32"/>
  <c r="U56" i="32"/>
  <c r="U51" i="32"/>
  <c r="U57" i="32"/>
  <c r="U62" i="32"/>
  <c r="U55" i="32"/>
  <c r="U61" i="32"/>
  <c r="U54" i="32"/>
  <c r="U60" i="32"/>
  <c r="U53" i="32"/>
  <c r="U59" i="32"/>
  <c r="U52" i="32"/>
  <c r="U58" i="32"/>
  <c r="F154" i="32"/>
  <c r="F146" i="32"/>
  <c r="F156" i="32"/>
  <c r="F149" i="32"/>
  <c r="F151" i="32"/>
  <c r="F150" i="32"/>
  <c r="F155" i="32"/>
  <c r="F153" i="32"/>
  <c r="F148" i="32"/>
  <c r="F152" i="32"/>
  <c r="F157" i="32"/>
  <c r="F147" i="32"/>
  <c r="F130" i="32"/>
  <c r="F134" i="32"/>
  <c r="F136" i="32"/>
  <c r="F131" i="32"/>
  <c r="F128" i="32"/>
  <c r="F137" i="32"/>
  <c r="F129" i="32"/>
  <c r="F135" i="32"/>
  <c r="F127" i="32"/>
  <c r="F133" i="32"/>
  <c r="F132" i="32"/>
  <c r="F138" i="32"/>
  <c r="AJ131" i="32"/>
  <c r="AJ137" i="32"/>
  <c r="AJ129" i="32"/>
  <c r="AJ135" i="32"/>
  <c r="AJ128" i="32"/>
  <c r="AJ134" i="32"/>
  <c r="AJ127" i="32"/>
  <c r="AJ133" i="32"/>
  <c r="AJ132" i="32"/>
  <c r="AJ138" i="32"/>
  <c r="AJ130" i="32"/>
  <c r="AJ136" i="32"/>
  <c r="U78" i="32"/>
  <c r="U73" i="32"/>
  <c r="U75" i="32"/>
  <c r="U79" i="32"/>
  <c r="U81" i="32"/>
  <c r="U72" i="32"/>
  <c r="U71" i="32"/>
  <c r="U77" i="32"/>
  <c r="U70" i="32"/>
  <c r="U76" i="32"/>
  <c r="U74" i="32"/>
  <c r="U80" i="32"/>
  <c r="F60" i="32"/>
  <c r="F54" i="32"/>
  <c r="F59" i="32"/>
  <c r="F57" i="32"/>
  <c r="F53" i="32"/>
  <c r="F56" i="32"/>
  <c r="F62" i="32"/>
  <c r="F51" i="32"/>
  <c r="F55" i="32"/>
  <c r="F61" i="32"/>
  <c r="F52" i="32"/>
  <c r="F58" i="32"/>
  <c r="AJ95" i="32"/>
  <c r="AJ100" i="32"/>
  <c r="AJ94" i="32"/>
  <c r="AJ89" i="32"/>
  <c r="AJ92" i="32"/>
  <c r="AJ98" i="32"/>
  <c r="AJ91" i="32"/>
  <c r="AJ97" i="32"/>
  <c r="AJ90" i="32"/>
  <c r="AJ96" i="32"/>
  <c r="AJ93" i="32"/>
  <c r="AJ99" i="32"/>
  <c r="E13" i="66"/>
  <c r="AO99" i="32" l="1"/>
  <c r="AQ99" i="32"/>
  <c r="AR99" i="32" s="1"/>
  <c r="AO93" i="32"/>
  <c r="AQ93" i="32"/>
  <c r="AR93" i="32" s="1"/>
  <c r="AO96" i="32"/>
  <c r="AQ96" i="32"/>
  <c r="AR96" i="32" s="1"/>
  <c r="AO90" i="32"/>
  <c r="AQ90" i="32"/>
  <c r="AR90" i="32" s="1"/>
  <c r="AQ97" i="32"/>
  <c r="AR97" i="32" s="1"/>
  <c r="AO97" i="32"/>
  <c r="AQ91" i="32"/>
  <c r="AR91" i="32" s="1"/>
  <c r="AO91" i="32"/>
  <c r="AQ98" i="32"/>
  <c r="AR98" i="32" s="1"/>
  <c r="AO98" i="32"/>
  <c r="AQ92" i="32"/>
  <c r="AR92" i="32" s="1"/>
  <c r="AO92" i="32"/>
  <c r="AJ101" i="32"/>
  <c r="AO89" i="32"/>
  <c r="AQ89" i="32"/>
  <c r="AQ94" i="32"/>
  <c r="AR94" i="32" s="1"/>
  <c r="AO94" i="32"/>
  <c r="AO100" i="32"/>
  <c r="AQ100" i="32"/>
  <c r="AR100" i="32" s="1"/>
  <c r="AO95" i="32"/>
  <c r="AQ95" i="32"/>
  <c r="AR95" i="32" s="1"/>
  <c r="K58" i="32"/>
  <c r="M58" i="32"/>
  <c r="N58" i="32" s="1"/>
  <c r="K52" i="32"/>
  <c r="M52" i="32"/>
  <c r="N52" i="32" s="1"/>
  <c r="K61" i="32"/>
  <c r="M61" i="32"/>
  <c r="N61" i="32" s="1"/>
  <c r="K55" i="32"/>
  <c r="M55" i="32"/>
  <c r="N55" i="32" s="1"/>
  <c r="F63" i="32"/>
  <c r="M51" i="32"/>
  <c r="K51" i="32"/>
  <c r="M62" i="32"/>
  <c r="N62" i="32" s="1"/>
  <c r="K62" i="32"/>
  <c r="K56" i="32"/>
  <c r="M56" i="32"/>
  <c r="N56" i="32" s="1"/>
  <c r="K53" i="32"/>
  <c r="M53" i="32"/>
  <c r="N53" i="32" s="1"/>
  <c r="K57" i="32"/>
  <c r="M57" i="32"/>
  <c r="N57" i="32" s="1"/>
  <c r="K59" i="32"/>
  <c r="M59" i="32"/>
  <c r="N59" i="32" s="1"/>
  <c r="K54" i="32"/>
  <c r="M54" i="32"/>
  <c r="N54" i="32" s="1"/>
  <c r="K60" i="32"/>
  <c r="M60" i="32"/>
  <c r="N60" i="32" s="1"/>
  <c r="Z80" i="32"/>
  <c r="AB80" i="32"/>
  <c r="AC80" i="32" s="1"/>
  <c r="Z74" i="32"/>
  <c r="AB74" i="32"/>
  <c r="AC74" i="32" s="1"/>
  <c r="Z76" i="32"/>
  <c r="AB76" i="32"/>
  <c r="AC76" i="32" s="1"/>
  <c r="U82" i="32"/>
  <c r="Z70" i="32"/>
  <c r="AB70" i="32"/>
  <c r="Z77" i="32"/>
  <c r="AB77" i="32"/>
  <c r="AC77" i="32" s="1"/>
  <c r="AB71" i="32"/>
  <c r="AC71" i="32" s="1"/>
  <c r="Z71" i="32"/>
  <c r="AB72" i="32"/>
  <c r="AC72" i="32" s="1"/>
  <c r="Z72" i="32"/>
  <c r="Z81" i="32"/>
  <c r="AB81" i="32"/>
  <c r="AC81" i="32" s="1"/>
  <c r="AB79" i="32"/>
  <c r="AC79" i="32" s="1"/>
  <c r="Z79" i="32"/>
  <c r="Z75" i="32"/>
  <c r="AB75" i="32"/>
  <c r="AC75" i="32" s="1"/>
  <c r="Z73" i="32"/>
  <c r="AB73" i="32"/>
  <c r="AC73" i="32" s="1"/>
  <c r="Z78" i="32"/>
  <c r="AB78" i="32"/>
  <c r="AC78" i="32" s="1"/>
  <c r="AO136" i="32"/>
  <c r="AQ136" i="32"/>
  <c r="AR136" i="32" s="1"/>
  <c r="AO130" i="32"/>
  <c r="AQ130" i="32"/>
  <c r="AR130" i="32" s="1"/>
  <c r="AO138" i="32"/>
  <c r="AQ138" i="32"/>
  <c r="AR138" i="32" s="1"/>
  <c r="AO132" i="32"/>
  <c r="AQ132" i="32"/>
  <c r="AR132" i="32" s="1"/>
  <c r="AO133" i="32"/>
  <c r="AQ133" i="32"/>
  <c r="AR133" i="32" s="1"/>
  <c r="AJ139" i="32"/>
  <c r="AO127" i="32"/>
  <c r="AQ127" i="32"/>
  <c r="AQ134" i="32"/>
  <c r="AR134" i="32" s="1"/>
  <c r="AO134" i="32"/>
  <c r="AQ128" i="32"/>
  <c r="AR128" i="32" s="1"/>
  <c r="AO128" i="32"/>
  <c r="AO135" i="32"/>
  <c r="AQ135" i="32"/>
  <c r="AR135" i="32" s="1"/>
  <c r="AO129" i="32"/>
  <c r="AQ129" i="32"/>
  <c r="AR129" i="32" s="1"/>
  <c r="AO137" i="32"/>
  <c r="AQ137" i="32"/>
  <c r="AR137" i="32" s="1"/>
  <c r="AO131" i="32"/>
  <c r="AQ131" i="32"/>
  <c r="AR131" i="32" s="1"/>
  <c r="M138" i="32"/>
  <c r="N138" i="32" s="1"/>
  <c r="K138" i="32"/>
  <c r="M132" i="32"/>
  <c r="N132" i="32" s="1"/>
  <c r="K132" i="32"/>
  <c r="K133" i="32"/>
  <c r="M133" i="32"/>
  <c r="N133" i="32" s="1"/>
  <c r="F139" i="32"/>
  <c r="K127" i="32"/>
  <c r="M127" i="32"/>
  <c r="K135" i="32"/>
  <c r="M135" i="32"/>
  <c r="N135" i="32" s="1"/>
  <c r="K129" i="32"/>
  <c r="M129" i="32"/>
  <c r="N129" i="32" s="1"/>
  <c r="K137" i="32"/>
  <c r="M137" i="32"/>
  <c r="N137" i="32" s="1"/>
  <c r="K128" i="32"/>
  <c r="M128" i="32"/>
  <c r="N128" i="32" s="1"/>
  <c r="K131" i="32"/>
  <c r="M131" i="32"/>
  <c r="N131" i="32" s="1"/>
  <c r="M136" i="32"/>
  <c r="N136" i="32" s="1"/>
  <c r="K136" i="32"/>
  <c r="K134" i="32"/>
  <c r="M134" i="32"/>
  <c r="N134" i="32" s="1"/>
  <c r="M130" i="32"/>
  <c r="N130" i="32" s="1"/>
  <c r="K130" i="32"/>
  <c r="K147" i="32"/>
  <c r="M147" i="32"/>
  <c r="N147" i="32" s="1"/>
  <c r="K157" i="32"/>
  <c r="M157" i="32"/>
  <c r="N157" i="32" s="1"/>
  <c r="K152" i="32"/>
  <c r="M152" i="32"/>
  <c r="N152" i="32" s="1"/>
  <c r="K148" i="32"/>
  <c r="M148" i="32"/>
  <c r="N148" i="32" s="1"/>
  <c r="K153" i="32"/>
  <c r="M153" i="32"/>
  <c r="N153" i="32" s="1"/>
  <c r="K155" i="32"/>
  <c r="M155" i="32"/>
  <c r="N155" i="32" s="1"/>
  <c r="M150" i="32"/>
  <c r="N150" i="32" s="1"/>
  <c r="K150" i="32"/>
  <c r="K151" i="32"/>
  <c r="M151" i="32"/>
  <c r="N151" i="32" s="1"/>
  <c r="K149" i="32"/>
  <c r="M149" i="32"/>
  <c r="N149" i="32" s="1"/>
  <c r="K156" i="32"/>
  <c r="M156" i="32"/>
  <c r="N156" i="32" s="1"/>
  <c r="F158" i="32"/>
  <c r="K146" i="32"/>
  <c r="M146" i="32"/>
  <c r="K154" i="32"/>
  <c r="M154" i="32"/>
  <c r="N154" i="32" s="1"/>
  <c r="AB58" i="32"/>
  <c r="AC58" i="32" s="1"/>
  <c r="Z58" i="32"/>
  <c r="Z52" i="32"/>
  <c r="AB52" i="32"/>
  <c r="AC52" i="32" s="1"/>
  <c r="AB59" i="32"/>
  <c r="AC59" i="32" s="1"/>
  <c r="Z59" i="32"/>
  <c r="Z53" i="32"/>
  <c r="AB53" i="32"/>
  <c r="AC53" i="32" s="1"/>
  <c r="AB60" i="32"/>
  <c r="AC60" i="32" s="1"/>
  <c r="Z60" i="32"/>
  <c r="Z54" i="32"/>
  <c r="AB54" i="32"/>
  <c r="AC54" i="32" s="1"/>
  <c r="Z61" i="32"/>
  <c r="AB61" i="32"/>
  <c r="AC61" i="32" s="1"/>
  <c r="Z55" i="32"/>
  <c r="AB55" i="32"/>
  <c r="AC55" i="32" s="1"/>
  <c r="Z62" i="32"/>
  <c r="AB62" i="32"/>
  <c r="AC62" i="32" s="1"/>
  <c r="AB57" i="32"/>
  <c r="AC57" i="32" s="1"/>
  <c r="Z57" i="32"/>
  <c r="U63" i="32"/>
  <c r="Z51" i="32"/>
  <c r="AB51" i="32"/>
  <c r="Z56" i="32"/>
  <c r="AB56" i="32"/>
  <c r="AC56" i="32" s="1"/>
  <c r="M192" i="32"/>
  <c r="N192" i="32" s="1"/>
  <c r="K192" i="32"/>
  <c r="M195" i="32"/>
  <c r="N195" i="32" s="1"/>
  <c r="K195" i="32"/>
  <c r="K189" i="32"/>
  <c r="M189" i="32"/>
  <c r="N189" i="32" s="1"/>
  <c r="K193" i="32"/>
  <c r="M193" i="32"/>
  <c r="N193" i="32" s="1"/>
  <c r="K187" i="32"/>
  <c r="M187" i="32"/>
  <c r="N187" i="32" s="1"/>
  <c r="K190" i="32"/>
  <c r="M190" i="32"/>
  <c r="N190" i="32" s="1"/>
  <c r="K194" i="32"/>
  <c r="M194" i="32"/>
  <c r="N194" i="32" s="1"/>
  <c r="K188" i="32"/>
  <c r="M188" i="32"/>
  <c r="N188" i="32" s="1"/>
  <c r="F196" i="32"/>
  <c r="K184" i="32"/>
  <c r="M184" i="32"/>
  <c r="K185" i="32"/>
  <c r="M185" i="32"/>
  <c r="N185" i="32" s="1"/>
  <c r="K191" i="32"/>
  <c r="M191" i="32"/>
  <c r="N191" i="32" s="1"/>
  <c r="M186" i="32"/>
  <c r="N186" i="32" s="1"/>
  <c r="K186" i="32"/>
  <c r="K117" i="32"/>
  <c r="M117" i="32"/>
  <c r="N117" i="32" s="1"/>
  <c r="K111" i="32"/>
  <c r="M111" i="32"/>
  <c r="N111" i="32" s="1"/>
  <c r="K118" i="32"/>
  <c r="M118" i="32"/>
  <c r="N118" i="32" s="1"/>
  <c r="K112" i="32"/>
  <c r="M112" i="32"/>
  <c r="N112" i="32" s="1"/>
  <c r="K109" i="32"/>
  <c r="M109" i="32"/>
  <c r="N109" i="32" s="1"/>
  <c r="K115" i="32"/>
  <c r="M115" i="32"/>
  <c r="N115" i="32" s="1"/>
  <c r="K110" i="32"/>
  <c r="M110" i="32"/>
  <c r="N110" i="32" s="1"/>
  <c r="K113" i="32"/>
  <c r="M113" i="32"/>
  <c r="N113" i="32" s="1"/>
  <c r="K116" i="32"/>
  <c r="M116" i="32"/>
  <c r="N116" i="32" s="1"/>
  <c r="M119" i="32"/>
  <c r="N119" i="32" s="1"/>
  <c r="K119" i="32"/>
  <c r="K114" i="32"/>
  <c r="M114" i="32"/>
  <c r="N114" i="32" s="1"/>
  <c r="F120" i="32"/>
  <c r="K108" i="32"/>
  <c r="M108" i="32"/>
  <c r="AB154" i="32"/>
  <c r="AC154" i="32" s="1"/>
  <c r="Z154" i="32"/>
  <c r="Z150" i="32"/>
  <c r="AB150" i="32"/>
  <c r="AC150" i="32" s="1"/>
  <c r="Z147" i="32"/>
  <c r="AB147" i="32"/>
  <c r="AC147" i="32" s="1"/>
  <c r="Z155" i="32"/>
  <c r="AB155" i="32"/>
  <c r="AC155" i="32" s="1"/>
  <c r="AB152" i="32"/>
  <c r="AC152" i="32" s="1"/>
  <c r="Z152" i="32"/>
  <c r="Z148" i="32"/>
  <c r="AB148" i="32"/>
  <c r="AC148" i="32" s="1"/>
  <c r="Z156" i="32"/>
  <c r="AB156" i="32"/>
  <c r="AC156" i="32" s="1"/>
  <c r="Z157" i="32"/>
  <c r="AB157" i="32"/>
  <c r="AC157" i="32" s="1"/>
  <c r="Z153" i="32"/>
  <c r="AB153" i="32"/>
  <c r="AC153" i="32" s="1"/>
  <c r="Z151" i="32"/>
  <c r="AB151" i="32"/>
  <c r="AC151" i="32" s="1"/>
  <c r="Z149" i="32"/>
  <c r="AB149" i="32"/>
  <c r="AC149" i="32" s="1"/>
  <c r="U158" i="32"/>
  <c r="Z146" i="32"/>
  <c r="AB146" i="32"/>
  <c r="AO173" i="32"/>
  <c r="AQ173" i="32"/>
  <c r="AR173" i="32" s="1"/>
  <c r="AO167" i="32"/>
  <c r="AQ167" i="32"/>
  <c r="AR167" i="32" s="1"/>
  <c r="AO174" i="32"/>
  <c r="AQ174" i="32"/>
  <c r="AR174" i="32" s="1"/>
  <c r="AO168" i="32"/>
  <c r="AQ168" i="32"/>
  <c r="AR168" i="32" s="1"/>
  <c r="AO175" i="32"/>
  <c r="AQ175" i="32"/>
  <c r="AR175" i="32" s="1"/>
  <c r="AO169" i="32"/>
  <c r="AQ169" i="32"/>
  <c r="AR169" i="32" s="1"/>
  <c r="AO176" i="32"/>
  <c r="AQ176" i="32"/>
  <c r="AR176" i="32" s="1"/>
  <c r="AO170" i="32"/>
  <c r="AQ170" i="32"/>
  <c r="AR170" i="32" s="1"/>
  <c r="AO171" i="32"/>
  <c r="AQ171" i="32"/>
  <c r="AR171" i="32" s="1"/>
  <c r="AJ177" i="32"/>
  <c r="AO165" i="32"/>
  <c r="AQ165" i="32"/>
  <c r="AO172" i="32"/>
  <c r="AQ172" i="32"/>
  <c r="AR172" i="32" s="1"/>
  <c r="AO166" i="32"/>
  <c r="AQ166" i="32"/>
  <c r="AR166" i="32" s="1"/>
  <c r="AB95" i="32"/>
  <c r="AC95" i="32" s="1"/>
  <c r="Z95" i="32"/>
  <c r="U101" i="32"/>
  <c r="AB89" i="32"/>
  <c r="Z89" i="32"/>
  <c r="Z96" i="32"/>
  <c r="AB96" i="32"/>
  <c r="AC96" i="32" s="1"/>
  <c r="Z90" i="32"/>
  <c r="AB90" i="32"/>
  <c r="AC90" i="32" s="1"/>
  <c r="Z97" i="32"/>
  <c r="AB97" i="32"/>
  <c r="AC97" i="32" s="1"/>
  <c r="Z91" i="32"/>
  <c r="AB91" i="32"/>
  <c r="AC91" i="32" s="1"/>
  <c r="Z98" i="32"/>
  <c r="AB98" i="32"/>
  <c r="AC98" i="32" s="1"/>
  <c r="Z92" i="32"/>
  <c r="AB92" i="32"/>
  <c r="AC92" i="32" s="1"/>
  <c r="Z99" i="32"/>
  <c r="AB99" i="32"/>
  <c r="AC99" i="32" s="1"/>
  <c r="Z93" i="32"/>
  <c r="AB93" i="32"/>
  <c r="AC93" i="32" s="1"/>
  <c r="Z100" i="32"/>
  <c r="AB100" i="32"/>
  <c r="AC100" i="32" s="1"/>
  <c r="AB94" i="32"/>
  <c r="AC94" i="32" s="1"/>
  <c r="Z94" i="32"/>
  <c r="AB39" i="32"/>
  <c r="AC39" i="32" s="1"/>
  <c r="Z39" i="32"/>
  <c r="Z33" i="32"/>
  <c r="AB33" i="32"/>
  <c r="AC33" i="32" s="1"/>
  <c r="AB36" i="32"/>
  <c r="AC36" i="32" s="1"/>
  <c r="Z36" i="32"/>
  <c r="Z34" i="32"/>
  <c r="AB34" i="32"/>
  <c r="AC34" i="32" s="1"/>
  <c r="Z42" i="32"/>
  <c r="AB42" i="32"/>
  <c r="AC42" i="32" s="1"/>
  <c r="Z40" i="32"/>
  <c r="AB40" i="32"/>
  <c r="AC40" i="32" s="1"/>
  <c r="Z37" i="32"/>
  <c r="AB37" i="32"/>
  <c r="AC37" i="32" s="1"/>
  <c r="AB35" i="32"/>
  <c r="AC35" i="32" s="1"/>
  <c r="Z35" i="32"/>
  <c r="AB41" i="32"/>
  <c r="AC41" i="32" s="1"/>
  <c r="Z41" i="32"/>
  <c r="U44" i="32"/>
  <c r="Z32" i="32"/>
  <c r="AB32" i="32"/>
  <c r="Z43" i="32"/>
  <c r="AB43" i="32"/>
  <c r="AC43" i="32" s="1"/>
  <c r="Z38" i="32"/>
  <c r="AB38" i="32"/>
  <c r="AC38" i="32" s="1"/>
  <c r="M95" i="32"/>
  <c r="N95" i="32" s="1"/>
  <c r="K95" i="32"/>
  <c r="F101" i="32"/>
  <c r="M89" i="32"/>
  <c r="K89" i="32"/>
  <c r="K96" i="32"/>
  <c r="M96" i="32"/>
  <c r="N96" i="32" s="1"/>
  <c r="K90" i="32"/>
  <c r="M90" i="32"/>
  <c r="N90" i="32" s="1"/>
  <c r="M98" i="32"/>
  <c r="N98" i="32" s="1"/>
  <c r="K98" i="32"/>
  <c r="K92" i="32"/>
  <c r="M92" i="32"/>
  <c r="N92" i="32" s="1"/>
  <c r="M99" i="32"/>
  <c r="N99" i="32" s="1"/>
  <c r="K99" i="32"/>
  <c r="K91" i="32"/>
  <c r="M91" i="32"/>
  <c r="N91" i="32" s="1"/>
  <c r="K94" i="32"/>
  <c r="M94" i="32"/>
  <c r="N94" i="32" s="1"/>
  <c r="K97" i="32"/>
  <c r="M97" i="32"/>
  <c r="N97" i="32" s="1"/>
  <c r="K100" i="32"/>
  <c r="M100" i="32"/>
  <c r="N100" i="32" s="1"/>
  <c r="M93" i="32"/>
  <c r="N93" i="32" s="1"/>
  <c r="K93" i="32"/>
  <c r="M38" i="32"/>
  <c r="N38" i="32" s="1"/>
  <c r="K38" i="32"/>
  <c r="K39" i="32"/>
  <c r="M39" i="32"/>
  <c r="N39" i="32" s="1"/>
  <c r="K43" i="32"/>
  <c r="M43" i="32"/>
  <c r="N43" i="32" s="1"/>
  <c r="K35" i="32"/>
  <c r="M35" i="32"/>
  <c r="N35" i="32" s="1"/>
  <c r="K40" i="32"/>
  <c r="M40" i="32"/>
  <c r="N40" i="32" s="1"/>
  <c r="K36" i="32"/>
  <c r="M36" i="32"/>
  <c r="N36" i="32" s="1"/>
  <c r="F44" i="32"/>
  <c r="M32" i="32"/>
  <c r="K32" i="32"/>
  <c r="M33" i="32"/>
  <c r="N33" i="32" s="1"/>
  <c r="K33" i="32"/>
  <c r="M42" i="32"/>
  <c r="N42" i="32" s="1"/>
  <c r="K42" i="32"/>
  <c r="K34" i="32"/>
  <c r="M34" i="32"/>
  <c r="N34" i="32" s="1"/>
  <c r="K37" i="32"/>
  <c r="M37" i="32"/>
  <c r="N37" i="32" s="1"/>
  <c r="K41" i="32"/>
  <c r="M41" i="32"/>
  <c r="N41" i="32" s="1"/>
  <c r="K21" i="32"/>
  <c r="M21" i="32"/>
  <c r="N21" i="32" s="1"/>
  <c r="M15" i="32"/>
  <c r="N15" i="32" s="1"/>
  <c r="K15" i="32"/>
  <c r="K16" i="32"/>
  <c r="M16" i="32"/>
  <c r="N16" i="32" s="1"/>
  <c r="K17" i="32"/>
  <c r="M17" i="32"/>
  <c r="N17" i="32" s="1"/>
  <c r="F25" i="32"/>
  <c r="K13" i="32"/>
  <c r="M13" i="32"/>
  <c r="K23" i="32"/>
  <c r="M23" i="32"/>
  <c r="N23" i="32" s="1"/>
  <c r="K18" i="32"/>
  <c r="M18" i="32"/>
  <c r="N18" i="32" s="1"/>
  <c r="M19" i="32"/>
  <c r="N19" i="32" s="1"/>
  <c r="K19" i="32"/>
  <c r="K14" i="32"/>
  <c r="M14" i="32"/>
  <c r="N14" i="32" s="1"/>
  <c r="K24" i="32"/>
  <c r="M24" i="32"/>
  <c r="N24" i="32" s="1"/>
  <c r="K22" i="32"/>
  <c r="M22" i="32"/>
  <c r="N22" i="32" s="1"/>
  <c r="K20" i="32"/>
  <c r="M20" i="32"/>
  <c r="N20" i="32" s="1"/>
  <c r="K22" i="66"/>
  <c r="M22" i="66"/>
  <c r="N22" i="66" s="1"/>
  <c r="M21" i="66"/>
  <c r="N21" i="66" s="1"/>
  <c r="K21" i="66"/>
  <c r="M20" i="66"/>
  <c r="N20" i="66" s="1"/>
  <c r="K20" i="66"/>
  <c r="K14" i="66"/>
  <c r="S14" i="66" s="1"/>
  <c r="T14" i="66" s="1"/>
  <c r="M14" i="66"/>
  <c r="N14" i="66" s="1"/>
  <c r="M18" i="66"/>
  <c r="N18" i="66" s="1"/>
  <c r="K18" i="66"/>
  <c r="M24" i="66"/>
  <c r="N24" i="66" s="1"/>
  <c r="K24" i="66"/>
  <c r="K16" i="66"/>
  <c r="M16" i="66"/>
  <c r="N16" i="66" s="1"/>
  <c r="K23" i="66"/>
  <c r="M23" i="66"/>
  <c r="N23" i="66" s="1"/>
  <c r="AQ79" i="32"/>
  <c r="AR79" i="32" s="1"/>
  <c r="AO79" i="32"/>
  <c r="AO73" i="32"/>
  <c r="AQ73" i="32"/>
  <c r="AR73" i="32" s="1"/>
  <c r="AO80" i="32"/>
  <c r="AQ80" i="32"/>
  <c r="AR80" i="32" s="1"/>
  <c r="AQ74" i="32"/>
  <c r="AR74" i="32" s="1"/>
  <c r="AO74" i="32"/>
  <c r="AO81" i="32"/>
  <c r="AQ81" i="32"/>
  <c r="AR81" i="32" s="1"/>
  <c r="AO75" i="32"/>
  <c r="AQ75" i="32"/>
  <c r="AR75" i="32" s="1"/>
  <c r="AO76" i="32"/>
  <c r="AQ76" i="32"/>
  <c r="AR76" i="32" s="1"/>
  <c r="AO72" i="32"/>
  <c r="AQ72" i="32"/>
  <c r="AR72" i="32" s="1"/>
  <c r="AJ82" i="32"/>
  <c r="AO70" i="32"/>
  <c r="AQ70" i="32"/>
  <c r="AO77" i="32"/>
  <c r="AQ77" i="32"/>
  <c r="AR77" i="32" s="1"/>
  <c r="AO71" i="32"/>
  <c r="AQ71" i="32"/>
  <c r="AR71" i="32" s="1"/>
  <c r="AO78" i="32"/>
  <c r="AQ78" i="32"/>
  <c r="AR78" i="32" s="1"/>
  <c r="AO195" i="32"/>
  <c r="AQ195" i="32"/>
  <c r="AR195" i="32" s="1"/>
  <c r="AO189" i="32"/>
  <c r="AQ189" i="32"/>
  <c r="AR189" i="32" s="1"/>
  <c r="AO190" i="32"/>
  <c r="AQ190" i="32"/>
  <c r="AR190" i="32" s="1"/>
  <c r="AJ196" i="32"/>
  <c r="AO184" i="32"/>
  <c r="AQ184" i="32"/>
  <c r="AQ191" i="32"/>
  <c r="AR191" i="32" s="1"/>
  <c r="AO191" i="32"/>
  <c r="AO185" i="32"/>
  <c r="AQ185" i="32"/>
  <c r="AR185" i="32" s="1"/>
  <c r="AO192" i="32"/>
  <c r="AQ192" i="32"/>
  <c r="AR192" i="32" s="1"/>
  <c r="AO186" i="32"/>
  <c r="AQ186" i="32"/>
  <c r="AR186" i="32" s="1"/>
  <c r="AO193" i="32"/>
  <c r="AQ193" i="32"/>
  <c r="AR193" i="32" s="1"/>
  <c r="AO187" i="32"/>
  <c r="AQ187" i="32"/>
  <c r="AR187" i="32" s="1"/>
  <c r="AQ194" i="32"/>
  <c r="AR194" i="32" s="1"/>
  <c r="AO194" i="32"/>
  <c r="AQ188" i="32"/>
  <c r="AR188" i="32" s="1"/>
  <c r="AO188" i="32"/>
  <c r="Z135" i="32"/>
  <c r="AB135" i="32"/>
  <c r="AC135" i="32" s="1"/>
  <c r="Z129" i="32"/>
  <c r="AB129" i="32"/>
  <c r="AC129" i="32" s="1"/>
  <c r="Z138" i="32"/>
  <c r="AB138" i="32"/>
  <c r="AC138" i="32" s="1"/>
  <c r="Z134" i="32"/>
  <c r="AB134" i="32"/>
  <c r="AC134" i="32" s="1"/>
  <c r="Z130" i="32"/>
  <c r="AB130" i="32"/>
  <c r="AC130" i="32" s="1"/>
  <c r="Z131" i="32"/>
  <c r="AB131" i="32"/>
  <c r="AC131" i="32" s="1"/>
  <c r="Z136" i="32"/>
  <c r="AB136" i="32"/>
  <c r="AC136" i="32" s="1"/>
  <c r="Z137" i="32"/>
  <c r="AB137" i="32"/>
  <c r="AC137" i="32" s="1"/>
  <c r="Z133" i="32"/>
  <c r="AB133" i="32"/>
  <c r="AC133" i="32" s="1"/>
  <c r="U139" i="32"/>
  <c r="Z127" i="32"/>
  <c r="AB127" i="32"/>
  <c r="AB132" i="32"/>
  <c r="AC132" i="32" s="1"/>
  <c r="Z132" i="32"/>
  <c r="Z128" i="32"/>
  <c r="AB128" i="32"/>
  <c r="AC128" i="32" s="1"/>
  <c r="AO62" i="32"/>
  <c r="AQ62" i="32"/>
  <c r="AR62" i="32" s="1"/>
  <c r="AO56" i="32"/>
  <c r="AQ56" i="32"/>
  <c r="AR56" i="32" s="1"/>
  <c r="AO59" i="32"/>
  <c r="AQ59" i="32"/>
  <c r="AR59" i="32" s="1"/>
  <c r="AO53" i="32"/>
  <c r="AQ53" i="32"/>
  <c r="AR53" i="32" s="1"/>
  <c r="AQ60" i="32"/>
  <c r="AR60" i="32" s="1"/>
  <c r="AO60" i="32"/>
  <c r="AO54" i="32"/>
  <c r="AQ54" i="32"/>
  <c r="AR54" i="32" s="1"/>
  <c r="AQ61" i="32"/>
  <c r="AR61" i="32" s="1"/>
  <c r="AO61" i="32"/>
  <c r="AO55" i="32"/>
  <c r="AQ55" i="32"/>
  <c r="AR55" i="32" s="1"/>
  <c r="AJ63" i="32"/>
  <c r="AO51" i="32"/>
  <c r="AQ51" i="32"/>
  <c r="AO58" i="32"/>
  <c r="AQ58" i="32"/>
  <c r="AR58" i="32" s="1"/>
  <c r="AO52" i="32"/>
  <c r="AQ52" i="32"/>
  <c r="AR52" i="32" s="1"/>
  <c r="AO57" i="32"/>
  <c r="AQ57" i="32"/>
  <c r="AR57" i="32" s="1"/>
  <c r="AO152" i="32"/>
  <c r="AQ152" i="32"/>
  <c r="AR152" i="32" s="1"/>
  <c r="AO153" i="32"/>
  <c r="AQ153" i="32"/>
  <c r="AR153" i="32" s="1"/>
  <c r="AO147" i="32"/>
  <c r="AQ147" i="32"/>
  <c r="AR147" i="32" s="1"/>
  <c r="AO154" i="32"/>
  <c r="AQ154" i="32"/>
  <c r="AR154" i="32" s="1"/>
  <c r="AO148" i="32"/>
  <c r="AQ148" i="32"/>
  <c r="AR148" i="32" s="1"/>
  <c r="AO155" i="32"/>
  <c r="AQ155" i="32"/>
  <c r="AR155" i="32" s="1"/>
  <c r="AO149" i="32"/>
  <c r="AQ149" i="32"/>
  <c r="AR149" i="32" s="1"/>
  <c r="AO156" i="32"/>
  <c r="AQ156" i="32"/>
  <c r="AR156" i="32" s="1"/>
  <c r="AO150" i="32"/>
  <c r="AQ150" i="32"/>
  <c r="AR150" i="32" s="1"/>
  <c r="AQ157" i="32"/>
  <c r="AR157" i="32" s="1"/>
  <c r="AO157" i="32"/>
  <c r="AQ151" i="32"/>
  <c r="AR151" i="32" s="1"/>
  <c r="AO151" i="32"/>
  <c r="AJ158" i="32"/>
  <c r="AO146" i="32"/>
  <c r="AQ146" i="32"/>
  <c r="Z190" i="32"/>
  <c r="AB190" i="32"/>
  <c r="AC190" i="32" s="1"/>
  <c r="U196" i="32"/>
  <c r="Z184" i="32"/>
  <c r="AB184" i="32"/>
  <c r="Z186" i="32"/>
  <c r="AB186" i="32"/>
  <c r="AC186" i="32" s="1"/>
  <c r="Z193" i="32"/>
  <c r="AB193" i="32"/>
  <c r="AC193" i="32" s="1"/>
  <c r="Z187" i="32"/>
  <c r="AB187" i="32"/>
  <c r="AC187" i="32" s="1"/>
  <c r="AB191" i="32"/>
  <c r="AC191" i="32" s="1"/>
  <c r="Z191" i="32"/>
  <c r="Z195" i="32"/>
  <c r="AB195" i="32"/>
  <c r="AC195" i="32" s="1"/>
  <c r="Z188" i="32"/>
  <c r="AB188" i="32"/>
  <c r="AC188" i="32" s="1"/>
  <c r="Z194" i="32"/>
  <c r="AB194" i="32"/>
  <c r="AC194" i="32" s="1"/>
  <c r="Z192" i="32"/>
  <c r="AB192" i="32"/>
  <c r="AC192" i="32" s="1"/>
  <c r="Z185" i="32"/>
  <c r="AB185" i="32"/>
  <c r="AC185" i="32" s="1"/>
  <c r="Z189" i="32"/>
  <c r="AB189" i="32"/>
  <c r="AC189" i="32" s="1"/>
  <c r="AQ42" i="32"/>
  <c r="AR42" i="32" s="1"/>
  <c r="AO42" i="32"/>
  <c r="AO43" i="32"/>
  <c r="AQ43" i="32"/>
  <c r="AR43" i="32" s="1"/>
  <c r="AO37" i="32"/>
  <c r="AQ37" i="32"/>
  <c r="AR37" i="32" s="1"/>
  <c r="AO36" i="32"/>
  <c r="AQ36" i="32"/>
  <c r="AR36" i="32" s="1"/>
  <c r="AO39" i="32"/>
  <c r="AQ39" i="32"/>
  <c r="AR39" i="32" s="1"/>
  <c r="AO33" i="32"/>
  <c r="AQ33" i="32"/>
  <c r="AR33" i="32" s="1"/>
  <c r="AO40" i="32"/>
  <c r="AQ40" i="32"/>
  <c r="AR40" i="32" s="1"/>
  <c r="AO34" i="32"/>
  <c r="AQ34" i="32"/>
  <c r="AR34" i="32" s="1"/>
  <c r="AO35" i="32"/>
  <c r="AQ35" i="32"/>
  <c r="AR35" i="32" s="1"/>
  <c r="AJ44" i="32"/>
  <c r="AO32" i="32"/>
  <c r="AQ32" i="32"/>
  <c r="AO41" i="32"/>
  <c r="AQ41" i="32"/>
  <c r="AR41" i="32" s="1"/>
  <c r="AO38" i="32"/>
  <c r="AQ38" i="32"/>
  <c r="AR38" i="32" s="1"/>
  <c r="K174" i="32"/>
  <c r="M174" i="32"/>
  <c r="N174" i="32" s="1"/>
  <c r="M168" i="32"/>
  <c r="N168" i="32" s="1"/>
  <c r="K168" i="32"/>
  <c r="K175" i="32"/>
  <c r="M175" i="32"/>
  <c r="N175" i="32" s="1"/>
  <c r="K169" i="32"/>
  <c r="M169" i="32"/>
  <c r="N169" i="32" s="1"/>
  <c r="K170" i="32"/>
  <c r="M170" i="32"/>
  <c r="N170" i="32" s="1"/>
  <c r="K166" i="32"/>
  <c r="M166" i="32"/>
  <c r="N166" i="32" s="1"/>
  <c r="K172" i="32"/>
  <c r="M172" i="32"/>
  <c r="N172" i="32" s="1"/>
  <c r="K176" i="32"/>
  <c r="M176" i="32"/>
  <c r="N176" i="32" s="1"/>
  <c r="M167" i="32"/>
  <c r="N167" i="32" s="1"/>
  <c r="K167" i="32"/>
  <c r="M173" i="32"/>
  <c r="N173" i="32" s="1"/>
  <c r="K173" i="32"/>
  <c r="K171" i="32"/>
  <c r="M171" i="32"/>
  <c r="N171" i="32" s="1"/>
  <c r="F177" i="32"/>
  <c r="K165" i="32"/>
  <c r="M165" i="32"/>
  <c r="Z116" i="32"/>
  <c r="AB116" i="32"/>
  <c r="AC116" i="32" s="1"/>
  <c r="Z111" i="32"/>
  <c r="AB111" i="32"/>
  <c r="AC111" i="32" s="1"/>
  <c r="Z117" i="32"/>
  <c r="AB117" i="32"/>
  <c r="AC117" i="32" s="1"/>
  <c r="Z112" i="32"/>
  <c r="AB112" i="32"/>
  <c r="AC112" i="32" s="1"/>
  <c r="AB118" i="32"/>
  <c r="AC118" i="32" s="1"/>
  <c r="Z118" i="32"/>
  <c r="AB113" i="32"/>
  <c r="AC113" i="32" s="1"/>
  <c r="Z113" i="32"/>
  <c r="U120" i="32"/>
  <c r="Z108" i="32"/>
  <c r="AB108" i="32"/>
  <c r="AB119" i="32"/>
  <c r="AC119" i="32" s="1"/>
  <c r="Z119" i="32"/>
  <c r="Z115" i="32"/>
  <c r="AB115" i="32"/>
  <c r="AC115" i="32" s="1"/>
  <c r="AB109" i="32"/>
  <c r="AC109" i="32" s="1"/>
  <c r="Z109" i="32"/>
  <c r="Z114" i="32"/>
  <c r="AB114" i="32"/>
  <c r="AC114" i="32" s="1"/>
  <c r="Z110" i="32"/>
  <c r="AB110" i="32"/>
  <c r="AC110" i="32" s="1"/>
  <c r="Z172" i="32"/>
  <c r="AB172" i="32"/>
  <c r="AC172" i="32" s="1"/>
  <c r="AB166" i="32"/>
  <c r="AC166" i="32" s="1"/>
  <c r="Z166" i="32"/>
  <c r="Z171" i="32"/>
  <c r="AB171" i="32"/>
  <c r="AC171" i="32" s="1"/>
  <c r="U177" i="32"/>
  <c r="Z165" i="32"/>
  <c r="AB165" i="32"/>
  <c r="Z175" i="32"/>
  <c r="AB175" i="32"/>
  <c r="AC175" i="32" s="1"/>
  <c r="Z167" i="32"/>
  <c r="AB167" i="32"/>
  <c r="AC167" i="32" s="1"/>
  <c r="AB176" i="32"/>
  <c r="AC176" i="32" s="1"/>
  <c r="Z176" i="32"/>
  <c r="Z168" i="32"/>
  <c r="AB168" i="32"/>
  <c r="AC168" i="32" s="1"/>
  <c r="Z173" i="32"/>
  <c r="AB173" i="32"/>
  <c r="AC173" i="32" s="1"/>
  <c r="Z169" i="32"/>
  <c r="AB169" i="32"/>
  <c r="AC169" i="32" s="1"/>
  <c r="Z170" i="32"/>
  <c r="AB170" i="32"/>
  <c r="AC170" i="32" s="1"/>
  <c r="AB174" i="32"/>
  <c r="AC174" i="32" s="1"/>
  <c r="Z174" i="32"/>
  <c r="AO116" i="32"/>
  <c r="AQ116" i="32"/>
  <c r="AR116" i="32" s="1"/>
  <c r="AO110" i="32"/>
  <c r="AQ110" i="32"/>
  <c r="AR110" i="32" s="1"/>
  <c r="AQ117" i="32"/>
  <c r="AR117" i="32" s="1"/>
  <c r="AO117" i="32"/>
  <c r="AQ111" i="32"/>
  <c r="AR111" i="32" s="1"/>
  <c r="AO111" i="32"/>
  <c r="AO118" i="32"/>
  <c r="AQ118" i="32"/>
  <c r="AR118" i="32" s="1"/>
  <c r="AO112" i="32"/>
  <c r="AQ112" i="32"/>
  <c r="AR112" i="32" s="1"/>
  <c r="AQ119" i="32"/>
  <c r="AR119" i="32" s="1"/>
  <c r="AO119" i="32"/>
  <c r="AO113" i="32"/>
  <c r="AQ113" i="32"/>
  <c r="AR113" i="32" s="1"/>
  <c r="AO114" i="32"/>
  <c r="AQ114" i="32"/>
  <c r="AR114" i="32" s="1"/>
  <c r="AO108" i="32"/>
  <c r="AJ120" i="32"/>
  <c r="AQ108" i="32"/>
  <c r="AO109" i="32"/>
  <c r="AQ109" i="32"/>
  <c r="AR109" i="32" s="1"/>
  <c r="AO115" i="32"/>
  <c r="AQ115" i="32"/>
  <c r="AR115" i="32" s="1"/>
  <c r="AO19" i="32"/>
  <c r="AQ19" i="32"/>
  <c r="AR19" i="32" s="1"/>
  <c r="AJ25" i="32"/>
  <c r="AO13" i="32"/>
  <c r="AQ13" i="32"/>
  <c r="AO24" i="32"/>
  <c r="AQ24" i="32"/>
  <c r="AR24" i="32" s="1"/>
  <c r="AQ18" i="32"/>
  <c r="AR18" i="32" s="1"/>
  <c r="AO18" i="32"/>
  <c r="AO22" i="32"/>
  <c r="AQ22" i="32"/>
  <c r="AR22" i="32" s="1"/>
  <c r="AO15" i="32"/>
  <c r="AQ15" i="32"/>
  <c r="AR15" i="32" s="1"/>
  <c r="AO23" i="32"/>
  <c r="AQ23" i="32"/>
  <c r="AR23" i="32" s="1"/>
  <c r="AO16" i="32"/>
  <c r="AQ16" i="32"/>
  <c r="AR16" i="32" s="1"/>
  <c r="AO20" i="32"/>
  <c r="AQ20" i="32"/>
  <c r="AR20" i="32" s="1"/>
  <c r="AQ17" i="32"/>
  <c r="AR17" i="32" s="1"/>
  <c r="AO17" i="32"/>
  <c r="AQ21" i="32"/>
  <c r="AR21" i="32" s="1"/>
  <c r="AO21" i="32"/>
  <c r="AQ14" i="32"/>
  <c r="AR14" i="32" s="1"/>
  <c r="AO14" i="32"/>
  <c r="AC13" i="32"/>
  <c r="AC25" i="32" s="1"/>
  <c r="AB25" i="32"/>
  <c r="M82" i="32"/>
  <c r="N70" i="32"/>
  <c r="N82" i="32" s="1"/>
  <c r="S18" i="66"/>
  <c r="T18" i="66" s="1"/>
  <c r="S16" i="66"/>
  <c r="T16" i="66" s="1"/>
  <c r="I15" i="66" a="1"/>
  <c r="I15" i="66" s="1"/>
  <c r="K15" i="66" s="1"/>
  <c r="R15" i="66"/>
  <c r="R17" i="66"/>
  <c r="I17" i="66" a="1"/>
  <c r="I17" i="66" s="1"/>
  <c r="K17" i="66" s="1"/>
  <c r="S17" i="66" s="1"/>
  <c r="J16" i="60"/>
  <c r="E16" i="60" s="1"/>
  <c r="E25" i="66"/>
  <c r="J13" i="66"/>
  <c r="P9" i="22"/>
  <c r="O9" i="22"/>
  <c r="N9" i="22"/>
  <c r="F13" i="66"/>
  <c r="AQ44" i="32" l="1"/>
  <c r="AR32" i="32"/>
  <c r="AR44" i="32" s="1"/>
  <c r="AB82" i="32"/>
  <c r="AC70" i="32"/>
  <c r="AC82" i="32" s="1"/>
  <c r="M63" i="32"/>
  <c r="N51" i="32"/>
  <c r="N63" i="32" s="1"/>
  <c r="AC146" i="32"/>
  <c r="AC158" i="32" s="1"/>
  <c r="AB158" i="32"/>
  <c r="AC32" i="32"/>
  <c r="AC44" i="32" s="1"/>
  <c r="AB44" i="32"/>
  <c r="M120" i="32"/>
  <c r="N108" i="32"/>
  <c r="N120" i="32" s="1"/>
  <c r="AQ25" i="32"/>
  <c r="AR13" i="32"/>
  <c r="AR25" i="32" s="1"/>
  <c r="AC108" i="32"/>
  <c r="AC120" i="32" s="1"/>
  <c r="AB120" i="32"/>
  <c r="AC127" i="32"/>
  <c r="AC139" i="32" s="1"/>
  <c r="AB139" i="32"/>
  <c r="AR165" i="32"/>
  <c r="AR177" i="32" s="1"/>
  <c r="AQ177" i="32"/>
  <c r="AR89" i="32"/>
  <c r="AR101" i="32" s="1"/>
  <c r="AQ101" i="32"/>
  <c r="AQ63" i="32"/>
  <c r="AR51" i="32"/>
  <c r="AR63" i="32" s="1"/>
  <c r="AQ196" i="32"/>
  <c r="AR184" i="32"/>
  <c r="AR196" i="32" s="1"/>
  <c r="N89" i="32"/>
  <c r="N101" i="32" s="1"/>
  <c r="M101" i="32"/>
  <c r="AC51" i="32"/>
  <c r="AC63" i="32" s="1"/>
  <c r="AB63" i="32"/>
  <c r="N165" i="32"/>
  <c r="N177" i="32" s="1"/>
  <c r="M177" i="32"/>
  <c r="M44" i="32"/>
  <c r="N32" i="32"/>
  <c r="N44" i="32" s="1"/>
  <c r="M158" i="32"/>
  <c r="N146" i="32"/>
  <c r="N158" i="32" s="1"/>
  <c r="AQ139" i="32"/>
  <c r="AR127" i="32"/>
  <c r="AR139" i="32" s="1"/>
  <c r="AC184" i="32"/>
  <c r="AC196" i="32" s="1"/>
  <c r="AB196" i="32"/>
  <c r="AR108" i="32"/>
  <c r="AR120" i="32" s="1"/>
  <c r="AQ120" i="32"/>
  <c r="AQ82" i="32"/>
  <c r="AR70" i="32"/>
  <c r="AR82" i="32" s="1"/>
  <c r="AC89" i="32"/>
  <c r="AC101" i="32" s="1"/>
  <c r="AB101" i="32"/>
  <c r="AC165" i="32"/>
  <c r="AC177" i="32" s="1"/>
  <c r="AB177" i="32"/>
  <c r="N13" i="32"/>
  <c r="N25" i="32" s="1"/>
  <c r="M25" i="32"/>
  <c r="M196" i="32"/>
  <c r="N184" i="32"/>
  <c r="N196" i="32" s="1"/>
  <c r="AR146" i="32"/>
  <c r="AR158" i="32" s="1"/>
  <c r="AQ158" i="32"/>
  <c r="M139" i="32"/>
  <c r="N127" i="32"/>
  <c r="N139" i="32" s="1"/>
  <c r="T17" i="66"/>
  <c r="R19" i="66"/>
  <c r="R20" i="66" s="1"/>
  <c r="I19" i="66" a="1"/>
  <c r="I19" i="66" s="1"/>
  <c r="M19" i="66" s="1"/>
  <c r="N19" i="66" s="1"/>
  <c r="M17" i="66"/>
  <c r="N17" i="66" s="1"/>
  <c r="M15" i="66"/>
  <c r="N15" i="66" s="1"/>
  <c r="F25" i="66"/>
  <c r="S15" i="66"/>
  <c r="M13" i="66"/>
  <c r="K13" i="66"/>
  <c r="R13" i="66"/>
  <c r="K19" i="66" l="1"/>
  <c r="S19" i="66" s="1"/>
  <c r="T19" i="66" s="1"/>
  <c r="N13" i="66"/>
  <c r="M25" i="66"/>
  <c r="T15" i="66"/>
  <c r="N23" i="22"/>
  <c r="D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S20" i="66" l="1"/>
  <c r="T20" i="66"/>
  <c r="N25" i="66"/>
  <c r="S13" i="66"/>
  <c r="N16" i="22"/>
  <c r="O16" i="22" s="1"/>
  <c r="P16" i="22" s="1"/>
  <c r="N21" i="22"/>
  <c r="O21" i="22" s="1"/>
  <c r="P21" i="22" s="1"/>
  <c r="N27" i="22"/>
  <c r="O27" i="22" s="1"/>
  <c r="P27" i="22" s="1"/>
  <c r="N22" i="22"/>
  <c r="O22" i="22" s="1"/>
  <c r="P22" i="22" s="1"/>
  <c r="N15" i="22"/>
  <c r="O15" i="22" s="1"/>
  <c r="P15" i="22" s="1"/>
  <c r="O23" i="22"/>
  <c r="P23" i="22" s="1"/>
  <c r="N11" i="22"/>
  <c r="O11" i="22" s="1"/>
  <c r="P11" i="22" s="1"/>
  <c r="N17" i="22"/>
  <c r="O17" i="22" s="1"/>
  <c r="P17" i="22" s="1"/>
  <c r="N12" i="22"/>
  <c r="O12" i="22" s="1"/>
  <c r="P12" i="22" s="1"/>
  <c r="N18" i="22"/>
  <c r="O18" i="22" s="1"/>
  <c r="P18" i="22" s="1"/>
  <c r="N24" i="22"/>
  <c r="O24" i="22" s="1"/>
  <c r="P24" i="22" s="1"/>
  <c r="N13" i="22"/>
  <c r="O13" i="22" s="1"/>
  <c r="P13" i="22" s="1"/>
  <c r="N19" i="22"/>
  <c r="O19" i="22" s="1"/>
  <c r="P19" i="22" s="1"/>
  <c r="N25" i="22"/>
  <c r="O25" i="22" s="1"/>
  <c r="P25" i="22" s="1"/>
  <c r="N14" i="22"/>
  <c r="O14" i="22" s="1"/>
  <c r="P14" i="22" s="1"/>
  <c r="N20" i="22"/>
  <c r="O20" i="22" s="1"/>
  <c r="P20" i="22" s="1"/>
  <c r="N26" i="22"/>
  <c r="O26" i="22" s="1"/>
  <c r="P26" i="22" s="1"/>
  <c r="T13" i="66" l="1"/>
  <c r="N28" i="22"/>
  <c r="O28" i="22" l="1"/>
  <c r="P28" i="22" s="1"/>
  <c r="N29" i="22"/>
  <c r="O29" i="22" s="1"/>
  <c r="P29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<sst xmlns="http://schemas.openxmlformats.org/spreadsheetml/2006/main" count="2224" uniqueCount="253">
  <si>
    <t>Manufacturing</t>
  </si>
  <si>
    <t>Construction</t>
  </si>
  <si>
    <t>Accommodation and food services</t>
  </si>
  <si>
    <t>Health care and social assistance</t>
  </si>
  <si>
    <t>Troughput</t>
  </si>
  <si>
    <t>Verticals/
Sectors</t>
  </si>
  <si>
    <t>Average Throughput per Device
[Mbps]</t>
  </si>
  <si>
    <t>Peak Concurrent Devices Traffic (Busy Hours) [Mbps]</t>
  </si>
  <si>
    <t>Busy Hour/Contention Ratio [Mbps]</t>
  </si>
  <si>
    <t>+ Headroom Extra Capacity</t>
  </si>
  <si>
    <t>Central Coast</t>
  </si>
  <si>
    <t>Cessnock</t>
  </si>
  <si>
    <t>Dungog</t>
  </si>
  <si>
    <t>Lake Macquarie</t>
  </si>
  <si>
    <t>Maitland</t>
  </si>
  <si>
    <t>Muswellbrook</t>
  </si>
  <si>
    <t>Newcastle</t>
  </si>
  <si>
    <t>Port Stephens</t>
  </si>
  <si>
    <t>Singleton</t>
  </si>
  <si>
    <t>UpperHunter</t>
  </si>
  <si>
    <t>Column</t>
  </si>
  <si>
    <t>Title</t>
  </si>
  <si>
    <t>Regions</t>
  </si>
  <si>
    <t>Headers</t>
  </si>
  <si>
    <t>Name</t>
  </si>
  <si>
    <t>Throughput [Mbps]</t>
  </si>
  <si>
    <t>Maximum length of inputs</t>
  </si>
  <si>
    <t>Sheet</t>
  </si>
  <si>
    <t>X</t>
  </si>
  <si>
    <t>Header</t>
  </si>
  <si>
    <t>Count in Total</t>
  </si>
  <si>
    <t>Distance to table parts</t>
  </si>
  <si>
    <t>Agriculture, forestry, fishing, and hunting, mining, quarrying, and oil and gas extraction</t>
  </si>
  <si>
    <t>Utilities</t>
  </si>
  <si>
    <t>Wholesale trade &amp; Retail trade</t>
  </si>
  <si>
    <t>Transportation and warehousing</t>
  </si>
  <si>
    <t>Finance and insurance &amp; Real estate and rental and leasing services</t>
  </si>
  <si>
    <t>Professional, scientific, and technical services</t>
  </si>
  <si>
    <t>Management of companies and enterprises &amp; Administrative and support services, waste management and remediation services</t>
  </si>
  <si>
    <t>Educational services</t>
  </si>
  <si>
    <t>Arts, entertainment, and recreation &amp; Information and cultural industries</t>
  </si>
  <si>
    <t>Other services (excluding public administration)</t>
  </si>
  <si>
    <t>Public administration</t>
  </si>
  <si>
    <t>Households &amp; Consumer Goods</t>
  </si>
  <si>
    <t>Visitor Demand</t>
  </si>
  <si>
    <t>Verticals_Sectors</t>
  </si>
  <si>
    <t>Devices</t>
  </si>
  <si>
    <t>Network Parameters</t>
  </si>
  <si>
    <t>Excel Template For IoT Modeling</t>
  </si>
  <si>
    <t>Verticals</t>
  </si>
  <si>
    <t>Maximum length</t>
  </si>
  <si>
    <t>Ex: Se definir uma coluna com 1000 de 'Maximum Length', a macro irá ler no máximo 1000 linhas de Input.</t>
  </si>
  <si>
    <t>Count in Total**</t>
  </si>
  <si>
    <t>Last Input is Total**</t>
  </si>
  <si>
    <t>Ex: Na imagem abaixo os valores '0' no fim da tabela existem devido à seleção de 'Last Input is Total'. Mais à direita não há '0' pois existe uma Coluna pelo meio.</t>
  </si>
  <si>
    <t>Para colunas, a macro apenas faz totais até à próxima Coluna.</t>
  </si>
  <si>
    <t>Model Output</t>
  </si>
  <si>
    <t>Outputs &gt; &gt;</t>
  </si>
  <si>
    <t>Last Input is Total</t>
  </si>
  <si>
    <t>Esta definição juntamente com o 'Last Input is Total' permite personalizar quando e onde haverão totais.</t>
  </si>
  <si>
    <t>Apenas funciona com colunas. Ao marcar esta célula, a macro irá usar este Input de Coluna nos totais e continuará também a fazer somas despois desta coluna.</t>
  </si>
  <si>
    <t>Uma Tabela</t>
  </si>
  <si>
    <t>Model Configurator:</t>
  </si>
  <si>
    <t>Output:</t>
  </si>
  <si>
    <t>Duas Tabelas</t>
  </si>
  <si>
    <t>**Esta funcionalidade podem vir a ser alteradas/removidas</t>
  </si>
  <si>
    <t>User Guide</t>
  </si>
  <si>
    <t>Input | Regions</t>
  </si>
  <si>
    <t>REGIONS</t>
  </si>
  <si>
    <t>B8</t>
  </si>
  <si>
    <t>Input | Verticals/Sectors</t>
  </si>
  <si>
    <t>Verticals/Sectors</t>
  </si>
  <si>
    <t>VERTICALS/SECTORS</t>
  </si>
  <si>
    <t>Input | Network Parameters</t>
  </si>
  <si>
    <t>NETWORK PARAMETERS</t>
  </si>
  <si>
    <t>Input | Model Configurator</t>
  </si>
  <si>
    <t>This sheet allows building multiple tables with some inputs.</t>
  </si>
  <si>
    <t>Este excel é um Template para criar Modelos de IoT Dimensioning.</t>
  </si>
  <si>
    <t>Configurator &gt; &gt;</t>
  </si>
  <si>
    <t>Em 'Headers':</t>
  </si>
  <si>
    <t>Em 'Verticals_Sectors':</t>
  </si>
  <si>
    <t>Resultado pretendido:</t>
  </si>
  <si>
    <t>Em 'Regions':</t>
  </si>
  <si>
    <t xml:space="preserve">*(se o nome desta folha for alterado a macro não irá funcionar. Caso se queira alterar o seu nome é preciso alterar código também) </t>
  </si>
  <si>
    <t>Width of Inputs</t>
  </si>
  <si>
    <t>MODEL CONFIGURATOR</t>
  </si>
  <si>
    <t>Output</t>
  </si>
  <si>
    <t>COLUNAS OPCIONAIS</t>
  </si>
  <si>
    <t>Para este simples exemplo são necessárias 4 instruções. Uma para cada input e uma para o output.</t>
  </si>
  <si>
    <t>Tendo os inputs preenchidos nas folhas pretendidas é só escrever instruções apropriadas no 'Model Configurator'.</t>
  </si>
  <si>
    <t>Cada instrução ocupa uma linha e têm três colunas de preenchimento obrigatório e mais 6 para definir melhor o que fazer com cada Input. As três obrigatórias são:</t>
  </si>
  <si>
    <t>COLUNAS OBRIGATÓRIAS</t>
  </si>
  <si>
    <t>Para obter este resultado podemos dividir os inputs em Regiões (com a data), em cabeçalho e verticais. Usando uma folha para cada input temos:</t>
  </si>
  <si>
    <t>Type of Instruction</t>
  </si>
  <si>
    <r>
      <t xml:space="preserve">Type of Instruction </t>
    </r>
    <r>
      <rPr>
        <sz val="11"/>
        <color theme="0"/>
        <rFont val="Aptos Narrow"/>
        <family val="2"/>
        <scheme val="minor"/>
      </rPr>
      <t>- Tem as seguintes opções:</t>
    </r>
  </si>
  <si>
    <t>Title (Input - Coluna) - Título para as tabelas, apenas uma linha por tabela.
Header (Input - Linha) - Input em linha usado como Cabeçalho/Linha.
Column (Input - Coluna) - Input em coluna usado como Coluna.
Output - Esta instrução define em que folha vão ficar as tabelas.</t>
  </si>
  <si>
    <r>
      <t>Sheet</t>
    </r>
    <r>
      <rPr>
        <sz val="11"/>
        <color theme="0"/>
        <rFont val="Aptos Narrow"/>
        <family val="2"/>
        <scheme val="minor"/>
      </rPr>
      <t xml:space="preserve"> - Localização do Input ou para onde vai o Output</t>
    </r>
  </si>
  <si>
    <t>First Cell</t>
  </si>
  <si>
    <r>
      <t xml:space="preserve">First Cell </t>
    </r>
    <r>
      <rPr>
        <sz val="11"/>
        <color theme="0"/>
        <rFont val="Aptos Narrow"/>
        <family val="2"/>
        <scheme val="minor"/>
      </rPr>
      <t>- Célula mais em cima, à esquerda do input/onde as tabelas irão ser geradas</t>
    </r>
  </si>
  <si>
    <t>Em baixo encontram-se algumas informações sobre as colunas de preenchimento opcional.</t>
  </si>
  <si>
    <t>EXEMPLO: Criar tabelas de Troughput para várias regiões</t>
  </si>
  <si>
    <t>Funciona através da macro 'CreateTablesFromInput' que usa instruções de inputs, definidas na folha  'Model Configurator'*, e cria tabelas.</t>
  </si>
  <si>
    <t>Manual do 'Model Configurator'</t>
  </si>
  <si>
    <r>
      <t xml:space="preserve">Cada instrução ocupa uma linha e tem </t>
    </r>
    <r>
      <rPr>
        <b/>
        <sz val="11"/>
        <color theme="4" tint="0.39997558519241921"/>
        <rFont val="Aptos Narrow"/>
        <family val="2"/>
        <scheme val="minor"/>
      </rPr>
      <t>três</t>
    </r>
    <r>
      <rPr>
        <sz val="11"/>
        <color theme="0"/>
        <rFont val="Aptos Narrow"/>
        <family val="2"/>
        <scheme val="minor"/>
      </rPr>
      <t xml:space="preserve"> colunas de preenchimento obrigatório e mais </t>
    </r>
    <r>
      <rPr>
        <b/>
        <sz val="11"/>
        <color theme="9" tint="0.39997558519241921"/>
        <rFont val="Aptos Narrow"/>
        <family val="2"/>
        <scheme val="minor"/>
      </rPr>
      <t>seis</t>
    </r>
    <r>
      <rPr>
        <sz val="11"/>
        <color theme="0"/>
        <rFont val="Aptos Narrow"/>
        <family val="2"/>
        <scheme val="minor"/>
      </rPr>
      <t xml:space="preserve"> opcionais para definir melhor o que fazer com cada Input.</t>
    </r>
  </si>
  <si>
    <t>Define o tipo de instrução, esta pode ser:</t>
  </si>
  <si>
    <r>
      <t xml:space="preserve">Title (Input - Coluna) - Input de título para as tabelas, as células de input são colunas. Apenas um por conjunto de instruções.
Header (Input - Linha) - Input usado em Cabeçalho ou linha, as células são de input são linhas. É possível usar vários seguidos, antes e depois de colunas.
Column (Input - Coluna) - Input usado como Coluna, as células são de input colunas. É possível usar vários e distribuílos ao longo da tabela (ver </t>
    </r>
    <r>
      <rPr>
        <b/>
        <sz val="11"/>
        <color rgb="FF00A3A1"/>
        <rFont val="Aptos Narrow"/>
        <family val="2"/>
        <scheme val="minor"/>
      </rPr>
      <t>Distance to table parts</t>
    </r>
    <r>
      <rPr>
        <sz val="11"/>
        <color theme="0"/>
        <rFont val="Aptos Narrow"/>
        <family val="2"/>
        <scheme val="minor"/>
      </rPr>
      <t xml:space="preserve"> &gt; Colunm).
Output - Instrução que define em aonde vão ficar as tabelas. Separa outros conjuntos de instruções.</t>
    </r>
  </si>
  <si>
    <t>A macro 'CreateTablesFromInput' usa esta folha para criar tabelas ou conjuntos de tabelas através de instruções. A instrução de 'Output' separa conjuntos de instruções para criar tabelas/conjuntos de tabelas.</t>
  </si>
  <si>
    <t>Origem/Destino dos Inputs.</t>
  </si>
  <si>
    <t>Célula mais em cima, à esquerda do Input/Output.</t>
  </si>
  <si>
    <t>Dependendo da instrução:</t>
  </si>
  <si>
    <t>Output - Distância entre Tabelas/Conjuntos de tabelas.
Title - Distância à primeira Coluna do Output.
Header - Distância ao título ou tabela anterior.
Column - Distância à primeira Coluna do Output. Ao usar isto é possível definir onde vários inputs coluna ficam dentro de uma tabela.</t>
  </si>
  <si>
    <t>Tamanho máximo de Inputs lidos em linha/coluna.</t>
  </si>
  <si>
    <t>Os Inputs podem ter mais que 1 de "largura". Para a macro conseguir ler mais que 1 de largura, a última tem que ser definida.</t>
  </si>
  <si>
    <t>Ex: Para que se consiga usar ter o cabeçalho na imagem, é preciso que a macro desenhe o cabeçalho com 4 de "largura" (neste caso altura).</t>
  </si>
  <si>
    <t xml:space="preserve">        Apenas ao definir a 'Width' deste Input a 4 ele criará a tabela com o cabeçalho completo.</t>
  </si>
  <si>
    <t>Ao marcar esta célula, a macro irá somar as linhas ou colunas na úlitma célula do 'Header' ou 'Colunm'. Apenas usado com 'Header' e 'Column'.</t>
  </si>
  <si>
    <t>Caso a altura desta Coluna igual ou maior à que tem a opção 'Last Input Is Total' esta opção não faz nada.</t>
  </si>
  <si>
    <t>EXEMPLO: Conjuntos de Tabelas</t>
  </si>
  <si>
    <t>Fixed References</t>
  </si>
  <si>
    <t>Ex: Com 'Fixed References' marcado.</t>
  </si>
  <si>
    <t>Input | Troughput</t>
  </si>
  <si>
    <t>TROUGHPUT</t>
  </si>
  <si>
    <t>Ex: Com 'Fixed References' Desmarcado.</t>
  </si>
  <si>
    <t>Esta opção muda o comportamento quando a macro copia referências.</t>
  </si>
  <si>
    <r>
      <t xml:space="preserve">Quando </t>
    </r>
    <r>
      <rPr>
        <b/>
        <sz val="11"/>
        <color theme="9"/>
        <rFont val="Aptos Narrow"/>
        <family val="2"/>
        <scheme val="minor"/>
      </rPr>
      <t>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comportamento normal.</t>
    </r>
  </si>
  <si>
    <r>
      <t xml:space="preserve">Quando </t>
    </r>
    <r>
      <rPr>
        <b/>
        <sz val="11"/>
        <color theme="0"/>
        <rFont val="Aptos Narrow"/>
        <family val="2"/>
        <scheme val="minor"/>
      </rPr>
      <t>desmarcada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mesmo comportamento de uma referência relativa.</t>
    </r>
  </si>
  <si>
    <t>*Todos os nomes são passíveis de ser alterados (ter em atenção que pode ser preciso alterar código também)</t>
  </si>
  <si>
    <t>Input | Study Years</t>
  </si>
  <si>
    <t>Study Years</t>
  </si>
  <si>
    <t>STUDY YEARS</t>
  </si>
  <si>
    <t>Input | Cost</t>
  </si>
  <si>
    <t>Cost</t>
  </si>
  <si>
    <t>COST</t>
  </si>
  <si>
    <t>Years</t>
  </si>
  <si>
    <t xml:space="preserve">Cost </t>
  </si>
  <si>
    <t>Sheets Names</t>
  </si>
  <si>
    <t>Create Sheets for each year</t>
  </si>
  <si>
    <t>Sheets start at Sheet Nº:</t>
  </si>
  <si>
    <t>Row Shift/Distance</t>
  </si>
  <si>
    <t>Column Shift/Distance</t>
  </si>
  <si>
    <t>Output | Model Output</t>
  </si>
  <si>
    <t>MODEL OUTPUT</t>
  </si>
  <si>
    <t>Copy Output Header for each year</t>
  </si>
  <si>
    <t>Sites</t>
  </si>
  <si>
    <t>Site Parameters</t>
  </si>
  <si>
    <t>Site Data</t>
  </si>
  <si>
    <t>Maximum Throughput for Downlink per Site</t>
  </si>
  <si>
    <t>Maximum Simultaneously Active Users per Site</t>
  </si>
  <si>
    <t>Title is first Column Header</t>
  </si>
  <si>
    <t>Base Stations Profiles</t>
  </si>
  <si>
    <t>Boolean</t>
  </si>
  <si>
    <t>B9</t>
  </si>
  <si>
    <t>Parameters</t>
  </si>
  <si>
    <t>BASE STATIONS PROFILES</t>
  </si>
  <si>
    <t>Input | Base Stations Profiles</t>
  </si>
  <si>
    <t>Instructions Types</t>
  </si>
  <si>
    <t>Clear Data Option</t>
  </si>
  <si>
    <t>Clear Data Options</t>
  </si>
  <si>
    <t>Clear</t>
  </si>
  <si>
    <t>Keep</t>
  </si>
  <si>
    <t>Ask</t>
  </si>
  <si>
    <t>Base Stations Sites</t>
  </si>
  <si>
    <t>Input | Base Stations Sites</t>
  </si>
  <si>
    <t>BASE STATIONS SITES</t>
  </si>
  <si>
    <t>Inputs 2 &gt; &gt;</t>
  </si>
  <si>
    <t>Inputs 1 &gt; &gt;</t>
  </si>
  <si>
    <t>Inputs 1 &gt;&gt;</t>
  </si>
  <si>
    <t>Inputs 2 &gt;&gt;</t>
  </si>
  <si>
    <t>Outputs &gt;&gt;</t>
  </si>
  <si>
    <t>Standalone 5G Site - 3 Sectors</t>
  </si>
  <si>
    <t>Standalone 5G Site - 2 Sectors</t>
  </si>
  <si>
    <t>Standalone 5G Site - 1 Sector</t>
  </si>
  <si>
    <t>Standalone 4G Site - 3 Sectors</t>
  </si>
  <si>
    <t>Standalone 4G Site - 2 Sectors</t>
  </si>
  <si>
    <t>Standalone 4G Site - 1 Sector</t>
  </si>
  <si>
    <t>Input | Troughput Formulas</t>
  </si>
  <si>
    <t>Troughput Formulas</t>
  </si>
  <si>
    <t>TROUGHPUT FORMULAS</t>
  </si>
  <si>
    <t>Througput Formulas</t>
  </si>
  <si>
    <t>Throughput Formulas</t>
  </si>
  <si>
    <t>Formulas</t>
  </si>
  <si>
    <t>B13</t>
  </si>
  <si>
    <t>Total</t>
  </si>
  <si>
    <t>Results</t>
  </si>
  <si>
    <t>Saturation</t>
  </si>
  <si>
    <t>Active Users</t>
  </si>
  <si>
    <t>Output Formulas</t>
  </si>
  <si>
    <t>Input | Output Formulas</t>
  </si>
  <si>
    <t>OUTPUT FORMULAS</t>
  </si>
  <si>
    <t>Totals</t>
  </si>
  <si>
    <t>B28</t>
  </si>
  <si>
    <t>M11</t>
  </si>
  <si>
    <t>D13</t>
  </si>
  <si>
    <t>One Site Cost</t>
  </si>
  <si>
    <t>Cost to Cover</t>
  </si>
  <si>
    <t>Sites to Cover</t>
  </si>
  <si>
    <t>Antenna Gains (dBi)</t>
  </si>
  <si>
    <t>Path Loss (dB)</t>
  </si>
  <si>
    <t>Path Loss Calculation</t>
  </si>
  <si>
    <t>Signal Power Calculation</t>
  </si>
  <si>
    <t>Throughput Calculation</t>
  </si>
  <si>
    <t>SNR Calculation</t>
  </si>
  <si>
    <t>Other Losses (dB)</t>
  </si>
  <si>
    <t>Percentages</t>
  </si>
  <si>
    <t>Throughput (Mbps)</t>
  </si>
  <si>
    <t>Manual</t>
  </si>
  <si>
    <t>Auto</t>
  </si>
  <si>
    <t>Option Auto</t>
  </si>
  <si>
    <t>Data</t>
  </si>
  <si>
    <t>Only Copy Format</t>
  </si>
  <si>
    <t>Formats</t>
  </si>
  <si>
    <t>D11</t>
  </si>
  <si>
    <t>.</t>
  </si>
  <si>
    <t>Auto Option</t>
  </si>
  <si>
    <t>MIMO Layers</t>
  </si>
  <si>
    <t>Units</t>
  </si>
  <si>
    <t>E10</t>
  </si>
  <si>
    <t>Capacity Per Site</t>
  </si>
  <si>
    <t>Total per Percentage</t>
  </si>
  <si>
    <t>Inputs 3 &gt; &gt;</t>
  </si>
  <si>
    <t>Inputs 4 &gt; &gt;</t>
  </si>
  <si>
    <t>Inputs 3 &gt;&gt;</t>
  </si>
  <si>
    <t>Inputs 4 &gt;&gt;</t>
  </si>
  <si>
    <t>Sectors</t>
  </si>
  <si>
    <t>Bandwidth (MHz)</t>
  </si>
  <si>
    <t>B11</t>
  </si>
  <si>
    <t>F11</t>
  </si>
  <si>
    <t>SNR</t>
  </si>
  <si>
    <t>Calculated Throughput (Mbps)</t>
  </si>
  <si>
    <t>Noise Power (dBm)</t>
  </si>
  <si>
    <t>Signal Power (dBm)</t>
  </si>
  <si>
    <t>Transmit power (dBm)</t>
  </si>
  <si>
    <t>E11</t>
  </si>
  <si>
    <t>Cost per site</t>
  </si>
  <si>
    <t>Sites per Region</t>
  </si>
  <si>
    <t>Input | Sites per Region</t>
  </si>
  <si>
    <t>SITES PER REGION</t>
  </si>
  <si>
    <t>Base station height (m)</t>
  </si>
  <si>
    <t>Distance between antenas (m)</t>
  </si>
  <si>
    <t>Carrier frequency (GHz)</t>
  </si>
  <si>
    <t>Overhead η</t>
  </si>
  <si>
    <t>Interference margin (dB)</t>
  </si>
  <si>
    <t>Base Stations Parameters</t>
  </si>
  <si>
    <t>One Site Cost (€)</t>
  </si>
  <si>
    <t>Cost to Cover (€)</t>
  </si>
  <si>
    <t>Standalone 5G Site - 3 Sectors - Auto</t>
  </si>
  <si>
    <t>Standalone 5G Site - 2 Sectors - Auto</t>
  </si>
  <si>
    <t>Standalone 5G Site - 1 Sector - Auto</t>
  </si>
  <si>
    <t>Standalone 4G Site - 3 Sectors - Auto</t>
  </si>
  <si>
    <t>Standalone 4G Site - 2 Sectors - Auto</t>
  </si>
  <si>
    <t>Standalone 4G Site - 1 Sector - Auto</t>
  </si>
  <si>
    <t>BASE STATIONS PARAMETERS</t>
  </si>
  <si>
    <t>Input | Base Stations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</si>
</sst>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#,##0;\(#,##0\);&quot;-&quot;"/>
    <numFmt numFmtId="165" formatCode="#,##0;\(#,##0\);\-"/>
    <numFmt numFmtId="166" formatCode="0.0%"/>
    <numFmt numFmtId="167" formatCode="0.0"/>
    <numFmt numFmtId="168" formatCode="_-* #,##0.00\ _€_-;\-* #,##0.00\ _€_-;_-* &quot;-&quot;??\ _€_-;_-@_-"/>
    <numFmt numFmtId="169" formatCode="_-* #,##0\ [$€-816]_-;\-* #,##0\ [$€-816]_-;_-* &quot;-&quot;??\ [$€-816]_-;_-@_-"/>
    <numFmt numFmtId="170" formatCode="_-* #,##0\ &quot;€&quot;_-;\-* #,##0\ &quot;€&quot;_-;_-* &quot;-&quot;??\ &quot;€&quot;_-;_-@_-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26"/>
      <color theme="0"/>
      <name val="Arial"/>
      <family val="2"/>
    </font>
    <font>
      <b/>
      <sz val="22"/>
      <color theme="0"/>
      <name val="Arial"/>
      <family val="2"/>
    </font>
    <font>
      <sz val="11"/>
      <color theme="0"/>
      <name val="Aptos Narrow"/>
      <family val="2"/>
      <scheme val="minor"/>
    </font>
    <font>
      <b/>
      <sz val="14"/>
      <color rgb="FF00A3A1"/>
      <name val="Aptos Narrow"/>
      <family val="2"/>
      <scheme val="minor"/>
    </font>
    <font>
      <sz val="10"/>
      <color rgb="FF202022"/>
      <name val="Inconsolata"/>
      <family val="3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i/>
      <sz val="8"/>
      <color rgb="FFFF0000"/>
      <name val="Arial"/>
      <family val="2"/>
    </font>
    <font>
      <sz val="11"/>
      <color theme="1"/>
      <name val="Calibri"/>
      <family val="2"/>
    </font>
    <font>
      <sz val="8"/>
      <color rgb="FFFF0000"/>
      <name val="Arial"/>
      <family val="2"/>
    </font>
    <font>
      <b/>
      <sz val="11"/>
      <color rgb="FFFFFFFF"/>
      <name val="Calibri Light"/>
      <family val="2"/>
    </font>
    <font>
      <b/>
      <sz val="14"/>
      <color rgb="FF00338D"/>
      <name val="Arial"/>
      <family val="2"/>
    </font>
    <font>
      <sz val="10"/>
      <color theme="1" tint="0.499984740745262"/>
      <name val="Aptos Narrow"/>
      <family val="2"/>
      <scheme val="minor"/>
    </font>
    <font>
      <b/>
      <sz val="11"/>
      <color rgb="FF00A3A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9" tint="0.3999755851924192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b/>
      <sz val="16"/>
      <color rgb="FF0091DA"/>
      <name val="Aptos Display"/>
      <family val="2"/>
      <scheme val="major"/>
    </font>
    <font>
      <b/>
      <sz val="18"/>
      <color theme="0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28"/>
      <color theme="0"/>
      <name val="Aptos Display"/>
      <family val="2"/>
      <scheme val="major"/>
    </font>
    <font>
      <b/>
      <sz val="11"/>
      <color theme="9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 tint="0.14999847407452621"/>
      <name val="Aptos Display"/>
      <family val="2"/>
      <scheme val="major"/>
    </font>
    <font>
      <b/>
      <sz val="12"/>
      <color theme="0"/>
      <name val="Aptos Black"/>
      <family val="2"/>
    </font>
    <font>
      <b/>
      <sz val="11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468"/>
        <bgColor indexed="64"/>
      </patternFill>
    </fill>
    <fill>
      <patternFill patternType="solid">
        <fgColor rgb="FF002468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A3A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ck">
        <color rgb="FFFFFFFF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9" fontId="2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9" fontId="2" fillId="4" borderId="3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0" fillId="9" borderId="0" xfId="0" applyFill="1"/>
    <xf numFmtId="0" fontId="6" fillId="10" borderId="0" xfId="0" applyFont="1" applyFill="1"/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9" fillId="9" borderId="0" xfId="0" applyFont="1" applyFill="1"/>
    <xf numFmtId="0" fontId="10" fillId="0" borderId="0" xfId="0" applyFont="1" applyAlignment="1">
      <alignment vertical="center"/>
    </xf>
    <xf numFmtId="0" fontId="11" fillId="0" borderId="0" xfId="0" applyFont="1"/>
    <xf numFmtId="164" fontId="12" fillId="0" borderId="0" xfId="0" applyNumberFormat="1" applyFont="1" applyAlignment="1">
      <alignment vertical="center"/>
    </xf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165" fontId="13" fillId="0" borderId="0" xfId="0" applyNumberFormat="1" applyFont="1"/>
    <xf numFmtId="165" fontId="12" fillId="0" borderId="0" xfId="0" applyNumberFormat="1" applyFont="1"/>
    <xf numFmtId="164" fontId="13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6" fillId="0" borderId="0" xfId="0" applyFont="1"/>
    <xf numFmtId="0" fontId="15" fillId="10" borderId="10" xfId="0" applyFont="1" applyFill="1" applyBorder="1"/>
    <xf numFmtId="0" fontId="17" fillId="10" borderId="0" xfId="0" applyFont="1" applyFill="1" applyAlignment="1">
      <alignment horizontal="left" vertical="center" indent="1"/>
    </xf>
    <xf numFmtId="0" fontId="12" fillId="9" borderId="0" xfId="0" applyFont="1" applyFill="1" applyAlignment="1">
      <alignment vertical="center"/>
    </xf>
    <xf numFmtId="0" fontId="15" fillId="10" borderId="0" xfId="0" applyFont="1" applyFill="1"/>
    <xf numFmtId="0" fontId="15" fillId="9" borderId="0" xfId="0" applyFont="1" applyFill="1"/>
    <xf numFmtId="0" fontId="18" fillId="0" borderId="0" xfId="0" applyFont="1"/>
    <xf numFmtId="0" fontId="0" fillId="0" borderId="0" xfId="0" applyAlignment="1">
      <alignment horizontal="center"/>
    </xf>
    <xf numFmtId="0" fontId="0" fillId="8" borderId="12" xfId="0" applyFill="1" applyBorder="1" applyAlignment="1">
      <alignment horizontal="center"/>
    </xf>
    <xf numFmtId="0" fontId="0" fillId="5" borderId="12" xfId="0" applyFill="1" applyBorder="1" applyAlignment="1">
      <alignment horizontal="center" wrapText="1"/>
    </xf>
    <xf numFmtId="0" fontId="0" fillId="8" borderId="12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19" fillId="9" borderId="0" xfId="0" applyFont="1" applyFill="1"/>
    <xf numFmtId="0" fontId="0" fillId="0" borderId="13" xfId="0" applyBorder="1"/>
    <xf numFmtId="0" fontId="8" fillId="9" borderId="0" xfId="0" applyFont="1" applyFill="1" applyAlignment="1">
      <alignment horizontal="center"/>
    </xf>
    <xf numFmtId="0" fontId="20" fillId="9" borderId="0" xfId="0" applyFont="1" applyFill="1"/>
    <xf numFmtId="0" fontId="0" fillId="0" borderId="0" xfId="0" quotePrefix="1"/>
    <xf numFmtId="0" fontId="8" fillId="9" borderId="0" xfId="0" applyFont="1" applyFill="1" applyAlignment="1">
      <alignment horizontal="left"/>
    </xf>
    <xf numFmtId="0" fontId="8" fillId="9" borderId="0" xfId="0" quotePrefix="1" applyFont="1" applyFill="1" applyAlignment="1">
      <alignment horizontal="left"/>
    </xf>
    <xf numFmtId="0" fontId="0" fillId="0" borderId="9" xfId="0" applyBorder="1"/>
    <xf numFmtId="0" fontId="8" fillId="9" borderId="0" xfId="0" quotePrefix="1" applyFont="1" applyFill="1"/>
    <xf numFmtId="0" fontId="24" fillId="9" borderId="0" xfId="0" applyFont="1" applyFill="1"/>
    <xf numFmtId="0" fontId="25" fillId="9" borderId="0" xfId="0" applyFont="1" applyFill="1"/>
    <xf numFmtId="0" fontId="26" fillId="9" borderId="0" xfId="0" applyFont="1" applyFill="1"/>
    <xf numFmtId="0" fontId="27" fillId="9" borderId="0" xfId="0" applyFont="1" applyFill="1"/>
    <xf numFmtId="0" fontId="8" fillId="9" borderId="0" xfId="0" applyFont="1" applyFill="1" applyAlignment="1">
      <alignment vertical="top" wrapText="1"/>
    </xf>
    <xf numFmtId="0" fontId="21" fillId="9" borderId="0" xfId="0" applyFont="1" applyFill="1"/>
    <xf numFmtId="0" fontId="5" fillId="5" borderId="12" xfId="0" applyFont="1" applyFill="1" applyBorder="1" applyAlignment="1">
      <alignment horizontal="center" wrapText="1"/>
    </xf>
    <xf numFmtId="0" fontId="2" fillId="4" borderId="6" xfId="1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9" fontId="2" fillId="4" borderId="6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17" fillId="10" borderId="0" xfId="0" applyFont="1" applyFill="1" applyAlignment="1">
      <alignment vertic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/>
    </xf>
    <xf numFmtId="0" fontId="15" fillId="1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7" fillId="10" borderId="0" xfId="0" applyFont="1" applyFill="1" applyAlignment="1">
      <alignment horizontal="center" vertical="center"/>
    </xf>
    <xf numFmtId="0" fontId="30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1" xfId="0" applyFill="1" applyBorder="1"/>
    <xf numFmtId="0" fontId="0" fillId="0" borderId="15" xfId="0" applyBorder="1"/>
    <xf numFmtId="0" fontId="2" fillId="2" borderId="6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/>
    </xf>
    <xf numFmtId="0" fontId="8" fillId="12" borderId="0" xfId="0" applyFont="1" applyFill="1" applyAlignment="1">
      <alignment horizontal="left"/>
    </xf>
    <xf numFmtId="3" fontId="4" fillId="0" borderId="16" xfId="0" applyNumberFormat="1" applyFont="1" applyBorder="1" applyAlignment="1">
      <alignment vertical="center"/>
    </xf>
    <xf numFmtId="9" fontId="4" fillId="0" borderId="17" xfId="1" applyFont="1" applyBorder="1" applyAlignment="1">
      <alignment vertical="center"/>
    </xf>
    <xf numFmtId="9" fontId="4" fillId="0" borderId="18" xfId="1" applyFont="1" applyBorder="1" applyAlignment="1">
      <alignment vertical="center"/>
    </xf>
    <xf numFmtId="166" fontId="4" fillId="0" borderId="19" xfId="1" applyNumberFormat="1" applyFont="1" applyBorder="1" applyAlignment="1">
      <alignment vertical="center"/>
    </xf>
    <xf numFmtId="167" fontId="4" fillId="0" borderId="20" xfId="0" applyNumberFormat="1" applyFont="1" applyBorder="1" applyAlignment="1">
      <alignment vertical="center"/>
    </xf>
    <xf numFmtId="3" fontId="4" fillId="0" borderId="20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vertical="center"/>
    </xf>
    <xf numFmtId="3" fontId="4" fillId="0" borderId="22" xfId="0" applyNumberFormat="1" applyFont="1" applyBorder="1" applyAlignment="1">
      <alignment vertical="center"/>
    </xf>
    <xf numFmtId="9" fontId="4" fillId="0" borderId="23" xfId="1" applyFont="1" applyBorder="1" applyAlignment="1">
      <alignment vertical="center"/>
    </xf>
    <xf numFmtId="9" fontId="4" fillId="0" borderId="24" xfId="1" applyFont="1" applyBorder="1" applyAlignment="1">
      <alignment vertical="center"/>
    </xf>
    <xf numFmtId="9" fontId="4" fillId="0" borderId="25" xfId="1" applyFont="1" applyBorder="1" applyAlignment="1">
      <alignment vertical="center"/>
    </xf>
    <xf numFmtId="166" fontId="4" fillId="0" borderId="25" xfId="1" applyNumberFormat="1" applyFont="1" applyBorder="1" applyAlignment="1">
      <alignment vertical="center"/>
    </xf>
    <xf numFmtId="167" fontId="4" fillId="0" borderId="26" xfId="0" applyNumberFormat="1" applyFont="1" applyBorder="1" applyAlignment="1">
      <alignment vertical="center"/>
    </xf>
    <xf numFmtId="3" fontId="4" fillId="0" borderId="26" xfId="0" applyNumberFormat="1" applyFont="1" applyBorder="1" applyAlignment="1">
      <alignment vertical="center"/>
    </xf>
    <xf numFmtId="3" fontId="4" fillId="0" borderId="27" xfId="0" applyNumberFormat="1" applyFont="1" applyBorder="1" applyAlignment="1">
      <alignment vertical="center"/>
    </xf>
    <xf numFmtId="9" fontId="4" fillId="0" borderId="28" xfId="1" applyFont="1" applyBorder="1" applyAlignment="1">
      <alignment vertical="center"/>
    </xf>
    <xf numFmtId="3" fontId="4" fillId="0" borderId="29" xfId="0" applyNumberFormat="1" applyFont="1" applyBorder="1" applyAlignment="1">
      <alignment vertical="center"/>
    </xf>
    <xf numFmtId="9" fontId="4" fillId="0" borderId="30" xfId="1" applyFont="1" applyBorder="1" applyAlignment="1">
      <alignment vertical="center"/>
    </xf>
    <xf numFmtId="9" fontId="4" fillId="0" borderId="31" xfId="1" applyFont="1" applyBorder="1" applyAlignment="1">
      <alignment vertical="center"/>
    </xf>
    <xf numFmtId="166" fontId="4" fillId="0" borderId="32" xfId="1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3" fontId="4" fillId="0" borderId="33" xfId="0" applyNumberFormat="1" applyFont="1" applyBorder="1" applyAlignment="1">
      <alignment vertical="center"/>
    </xf>
    <xf numFmtId="3" fontId="4" fillId="0" borderId="34" xfId="0" applyNumberFormat="1" applyFont="1" applyBorder="1" applyAlignment="1">
      <alignment vertical="center"/>
    </xf>
    <xf numFmtId="3" fontId="4" fillId="0" borderId="0" xfId="0" applyNumberFormat="1" applyFont="1" applyAlignment="1">
      <alignment vertical="center"/>
    </xf>
    <xf numFmtId="4" fontId="4" fillId="0" borderId="0" xfId="0" applyNumberFormat="1" applyFont="1" applyAlignment="1">
      <alignment vertical="center"/>
    </xf>
    <xf numFmtId="3" fontId="3" fillId="6" borderId="0" xfId="0" applyNumberFormat="1" applyFont="1" applyFill="1" applyAlignment="1">
      <alignment vertical="center"/>
    </xf>
    <xf numFmtId="0" fontId="4" fillId="0" borderId="35" xfId="0" applyFont="1" applyBorder="1" applyAlignment="1">
      <alignment vertical="center" wrapText="1"/>
    </xf>
    <xf numFmtId="0" fontId="31" fillId="12" borderId="0" xfId="0" applyFont="1" applyFill="1" applyAlignment="1">
      <alignment vertical="center" wrapText="1"/>
    </xf>
    <xf numFmtId="3" fontId="0" fillId="0" borderId="0" xfId="0" applyNumberFormat="1"/>
    <xf numFmtId="9" fontId="0" fillId="0" borderId="0" xfId="1" applyFont="1"/>
    <xf numFmtId="2" fontId="0" fillId="0" borderId="0" xfId="0" applyNumberFormat="1"/>
    <xf numFmtId="0" fontId="15" fillId="10" borderId="0" xfId="2" applyNumberFormat="1" applyFont="1" applyFill="1"/>
    <xf numFmtId="0" fontId="12" fillId="0" borderId="0" xfId="2" applyNumberFormat="1" applyFont="1"/>
    <xf numFmtId="0" fontId="17" fillId="10" borderId="0" xfId="2" applyNumberFormat="1" applyFont="1" applyFill="1" applyAlignment="1">
      <alignment horizontal="left" vertical="center" indent="1"/>
    </xf>
    <xf numFmtId="0" fontId="0" fillId="0" borderId="0" xfId="2" applyNumberFormat="1" applyFont="1"/>
    <xf numFmtId="2" fontId="0" fillId="0" borderId="0" xfId="2" applyNumberFormat="1" applyFont="1"/>
    <xf numFmtId="0" fontId="0" fillId="0" borderId="0" xfId="0" applyAlignment="1">
      <alignment vertical="center"/>
    </xf>
    <xf numFmtId="0" fontId="30" fillId="11" borderId="36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30" fillId="8" borderId="36" xfId="0" applyFont="1" applyFill="1" applyBorder="1" applyAlignment="1">
      <alignment horizontal="center" vertical="center"/>
    </xf>
    <xf numFmtId="0" fontId="32" fillId="0" borderId="0" xfId="0" applyFont="1"/>
    <xf numFmtId="0" fontId="21" fillId="14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/>
    </xf>
    <xf numFmtId="2" fontId="0" fillId="13" borderId="0" xfId="0" applyNumberFormat="1" applyFill="1"/>
    <xf numFmtId="169" fontId="0" fillId="0" borderId="0" xfId="0" applyNumberFormat="1"/>
    <xf numFmtId="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4" fontId="0" fillId="0" borderId="0" xfId="0" quotePrefix="1" applyNumberFormat="1" applyAlignment="1">
      <alignment wrapText="1"/>
    </xf>
    <xf numFmtId="166" fontId="0" fillId="0" borderId="0" xfId="1" applyNumberFormat="1" applyFont="1"/>
    <xf numFmtId="166" fontId="0" fillId="5" borderId="0" xfId="1" applyNumberFormat="1" applyFont="1" applyFill="1"/>
    <xf numFmtId="3" fontId="0" fillId="5" borderId="0" xfId="0" applyNumberFormat="1" applyFill="1" applyAlignment="1">
      <alignment vertical="center"/>
    </xf>
    <xf numFmtId="4" fontId="0" fillId="5" borderId="0" xfId="0" applyNumberFormat="1" applyFill="1" applyAlignment="1">
      <alignment vertical="center"/>
    </xf>
    <xf numFmtId="0" fontId="0" fillId="5" borderId="0" xfId="1" applyNumberFormat="1" applyFont="1" applyFill="1"/>
    <xf numFmtId="170" fontId="0" fillId="0" borderId="0" xfId="2" applyNumberFormat="1" applyFont="1"/>
    <xf numFmtId="170" fontId="0" fillId="5" borderId="0" xfId="2" applyNumberFormat="1" applyFont="1" applyFill="1"/>
    <xf numFmtId="2" fontId="0" fillId="13" borderId="37" xfId="0" applyNumberFormat="1" applyFill="1" applyBorder="1"/>
    <xf numFmtId="0" fontId="0" fillId="0" borderId="37" xfId="0" applyBorder="1"/>
    <xf numFmtId="0" fontId="7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vertical="top" wrapText="1"/>
    </xf>
    <xf numFmtId="0" fontId="8" fillId="9" borderId="0" xfId="0" quotePrefix="1" applyFont="1" applyFill="1" applyAlignment="1">
      <alignment horizontal="left" vertical="top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</cellXfs>
  <cellStyles count="4">
    <cellStyle name="Comma 3" xfId="3" xr:uid="{D045E75E-81E4-4242-A05E-B3E66C5F855E}"/>
    <cellStyle name="Currency" xfId="2" builtinId="4"/>
    <cellStyle name="Normal" xfId="0" builtinId="0"/>
    <cellStyle name="Percent" xfId="1" builtinId="5"/>
  </cellStyles>
  <dxfs count="106"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0091DA"/>
      <color rgb="FF00A3A1"/>
      <color rgb="FFFCD6D6"/>
      <color rgb="FF002468"/>
      <color rgb="FF00338D"/>
      <color rgb="FF9BC2E5"/>
      <color rgb="FFA7B7F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27972</xdr:rowOff>
    </xdr:to>
    <xdr:pic>
      <xdr:nvPicPr>
        <xdr:cNvPr id="7" name="Picture 6" descr="Moodle Iscte – Iscte-Informática">
          <a:extLst>
            <a:ext uri="{FF2B5EF4-FFF2-40B4-BE49-F238E27FC236}">
              <a16:creationId xmlns:a16="http://schemas.microsoft.com/office/drawing/2014/main" id="{9663066C-871E-40DC-95F2-A8931D2CE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3</xdr:row>
      <xdr:rowOff>790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55F9561-3309-4556-B585-501E4C0F8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708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19453</xdr:colOff>
      <xdr:row>111</xdr:row>
      <xdr:rowOff>175396</xdr:rowOff>
    </xdr:from>
    <xdr:to>
      <xdr:col>4</xdr:col>
      <xdr:colOff>2187388</xdr:colOff>
      <xdr:row>115</xdr:row>
      <xdr:rowOff>153494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0DAC983-4924-E633-41C0-AF08F404D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053" y="27750831"/>
          <a:ext cx="5072500" cy="695277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19879</xdr:colOff>
      <xdr:row>119</xdr:row>
      <xdr:rowOff>6625</xdr:rowOff>
    </xdr:from>
    <xdr:to>
      <xdr:col>4</xdr:col>
      <xdr:colOff>2169459</xdr:colOff>
      <xdr:row>124</xdr:row>
      <xdr:rowOff>1678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992AC4B-AD44-C0E0-9716-60D148378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9479" y="31356201"/>
          <a:ext cx="5054145" cy="891524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33362</xdr:colOff>
      <xdr:row>12</xdr:row>
      <xdr:rowOff>179119</xdr:rowOff>
    </xdr:from>
    <xdr:to>
      <xdr:col>3</xdr:col>
      <xdr:colOff>33131</xdr:colOff>
      <xdr:row>14</xdr:row>
      <xdr:rowOff>135865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2C342E6-3BFA-31BF-4F56-C53D3DD85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2962" y="5823781"/>
          <a:ext cx="1394815" cy="1105607"/>
        </a:xfrm>
        <a:prstGeom prst="round2DiagRect">
          <a:avLst>
            <a:gd name="adj1" fmla="val 8715"/>
            <a:gd name="adj2" fmla="val 14314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0</xdr:col>
      <xdr:colOff>597408</xdr:colOff>
      <xdr:row>79</xdr:row>
      <xdr:rowOff>60844</xdr:rowOff>
    </xdr:from>
    <xdr:to>
      <xdr:col>4</xdr:col>
      <xdr:colOff>649923</xdr:colOff>
      <xdr:row>83</xdr:row>
      <xdr:rowOff>92051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028431-1B8A-023B-D101-EE2ECC63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7408" y="22981804"/>
          <a:ext cx="3565335" cy="762727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1</xdr:col>
      <xdr:colOff>67056</xdr:colOff>
      <xdr:row>88</xdr:row>
      <xdr:rowOff>60958</xdr:rowOff>
    </xdr:from>
    <xdr:to>
      <xdr:col>4</xdr:col>
      <xdr:colOff>944880</xdr:colOff>
      <xdr:row>93</xdr:row>
      <xdr:rowOff>138111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71FD623-08C9-EE5B-F618-086929DB0AD1}"/>
            </a:ext>
          </a:extLst>
        </xdr:cNvPr>
        <xdr:cNvGrpSpPr/>
      </xdr:nvGrpSpPr>
      <xdr:grpSpPr>
        <a:xfrm>
          <a:off x="660968" y="25330223"/>
          <a:ext cx="3701706" cy="1029653"/>
          <a:chOff x="2103120" y="12405360"/>
          <a:chExt cx="4748784" cy="132641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A375E84-A279-23AF-3342-DAC8AD0A32F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l="388" t="1521" r="-1" b="-4285"/>
          <a:stretch>
            <a:fillRect/>
          </a:stretch>
        </xdr:blipFill>
        <xdr:spPr>
          <a:xfrm>
            <a:off x="2145792" y="12405360"/>
            <a:ext cx="4689444" cy="1326416"/>
          </a:xfrm>
          <a:prstGeom prst="roundRect">
            <a:avLst>
              <a:gd name="adj" fmla="val 7847"/>
            </a:avLst>
          </a:prstGeom>
          <a:ln w="28575">
            <a:solidFill>
              <a:schemeClr val="accent6"/>
            </a:solidFill>
          </a:ln>
        </xdr:spPr>
      </xdr:pic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F79120E-5B27-665D-E6FF-FEAA3B49F7D3}"/>
              </a:ext>
            </a:extLst>
          </xdr:cNvPr>
          <xdr:cNvSpPr/>
        </xdr:nvSpPr>
        <xdr:spPr>
          <a:xfrm>
            <a:off x="2103120" y="13545228"/>
            <a:ext cx="4748784" cy="164676"/>
          </a:xfrm>
          <a:prstGeom prst="roundRect">
            <a:avLst>
              <a:gd name="adj" fmla="val 50000"/>
            </a:avLst>
          </a:prstGeom>
          <a:noFill/>
          <a:ln w="28575">
            <a:solidFill>
              <a:srgbClr val="00A3A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 editAs="oneCell">
    <xdr:from>
      <xdr:col>5</xdr:col>
      <xdr:colOff>0</xdr:colOff>
      <xdr:row>112</xdr:row>
      <xdr:rowOff>19611</xdr:rowOff>
    </xdr:from>
    <xdr:to>
      <xdr:col>7</xdr:col>
      <xdr:colOff>470426</xdr:colOff>
      <xdr:row>117</xdr:row>
      <xdr:rowOff>14682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343B9-04F5-D5F1-CAB2-2AAE9C54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55677" y="36367011"/>
          <a:ext cx="3664964" cy="3658533"/>
        </a:xfrm>
        <a:prstGeom prst="round2DiagRect">
          <a:avLst>
            <a:gd name="adj1" fmla="val 4811"/>
            <a:gd name="adj2" fmla="val 16502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5</xdr:col>
      <xdr:colOff>0</xdr:colOff>
      <xdr:row>119</xdr:row>
      <xdr:rowOff>17319</xdr:rowOff>
    </xdr:from>
    <xdr:to>
      <xdr:col>7</xdr:col>
      <xdr:colOff>487307</xdr:colOff>
      <xdr:row>138</xdr:row>
      <xdr:rowOff>91791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8FA8882-3E1D-4612-CB9F-B214069B09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6608" b="2922"/>
        <a:stretch>
          <a:fillRect/>
        </a:stretch>
      </xdr:blipFill>
      <xdr:spPr>
        <a:xfrm>
          <a:off x="5855677" y="40391596"/>
          <a:ext cx="3681845" cy="3526918"/>
        </a:xfrm>
        <a:prstGeom prst="round2DiagRect">
          <a:avLst>
            <a:gd name="adj1" fmla="val 4535"/>
            <a:gd name="adj2" fmla="val 1279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</xdr:colOff>
      <xdr:row>7</xdr:row>
      <xdr:rowOff>1</xdr:rowOff>
    </xdr:from>
    <xdr:to>
      <xdr:col>5</xdr:col>
      <xdr:colOff>2139462</xdr:colOff>
      <xdr:row>10</xdr:row>
      <xdr:rowOff>110051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6860A12-6985-6DEE-C24E-1F3B73A3B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739"/>
        <a:stretch>
          <a:fillRect/>
        </a:stretch>
      </xdr:blipFill>
      <xdr:spPr>
        <a:xfrm>
          <a:off x="609601" y="1600201"/>
          <a:ext cx="7385538" cy="3791096"/>
        </a:xfrm>
        <a:prstGeom prst="round2DiagRect">
          <a:avLst>
            <a:gd name="adj1" fmla="val 2010"/>
            <a:gd name="adj2" fmla="val 896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15</xdr:row>
      <xdr:rowOff>181707</xdr:rowOff>
    </xdr:from>
    <xdr:to>
      <xdr:col>4</xdr:col>
      <xdr:colOff>1685364</xdr:colOff>
      <xdr:row>17</xdr:row>
      <xdr:rowOff>110222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875C040C-8E85-4BC1-02FC-7D5C6D1A5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7156938"/>
          <a:ext cx="4586826" cy="649484"/>
        </a:xfrm>
        <a:prstGeom prst="round2DiagRect">
          <a:avLst>
            <a:gd name="adj1" fmla="val 6740"/>
            <a:gd name="adj2" fmla="val 18050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19</xdr:row>
      <xdr:rowOff>1</xdr:rowOff>
    </xdr:from>
    <xdr:to>
      <xdr:col>3</xdr:col>
      <xdr:colOff>187901</xdr:colOff>
      <xdr:row>20</xdr:row>
      <xdr:rowOff>91440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1B69A6BC-E5D6-0F6F-FD54-983DD3A9C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8059616"/>
          <a:ext cx="1582947" cy="1656470"/>
        </a:xfrm>
        <a:prstGeom prst="round2DiagRect">
          <a:avLst>
            <a:gd name="adj1" fmla="val 6669"/>
            <a:gd name="adj2" fmla="val 10368"/>
          </a:avLst>
        </a:prstGeom>
        <a:ln w="19050">
          <a:solidFill>
            <a:srgbClr val="00A3A1"/>
          </a:solidFill>
        </a:ln>
      </xdr:spPr>
    </xdr:pic>
    <xdr:clientData/>
  </xdr:twoCellAnchor>
  <xdr:twoCellAnchor>
    <xdr:from>
      <xdr:col>0</xdr:col>
      <xdr:colOff>571500</xdr:colOff>
      <xdr:row>30</xdr:row>
      <xdr:rowOff>160020</xdr:rowOff>
    </xdr:from>
    <xdr:to>
      <xdr:col>11</xdr:col>
      <xdr:colOff>525780</xdr:colOff>
      <xdr:row>50</xdr:row>
      <xdr:rowOff>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CC7D2A38-1728-E173-F29C-44373CC1A509}"/>
            </a:ext>
          </a:extLst>
        </xdr:cNvPr>
        <xdr:cNvGrpSpPr/>
      </xdr:nvGrpSpPr>
      <xdr:grpSpPr>
        <a:xfrm>
          <a:off x="571500" y="12340814"/>
          <a:ext cx="11317045" cy="3649980"/>
          <a:chOff x="571500" y="11978640"/>
          <a:chExt cx="11262360" cy="3497580"/>
        </a:xfrm>
      </xdr:grpSpPr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C87DF162-AC83-40DB-8361-34027FE066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618565" y="12797229"/>
            <a:ext cx="8924109" cy="1492832"/>
          </a:xfrm>
          <a:prstGeom prst="rect">
            <a:avLst/>
          </a:prstGeom>
          <a:ln w="19050">
            <a:solidFill>
              <a:srgbClr val="00A3A1"/>
            </a:solidFill>
          </a:ln>
        </xdr:spPr>
      </xdr:pic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CBEF4DCB-FEAE-A478-613E-B1940083638C}"/>
              </a:ext>
            </a:extLst>
          </xdr:cNvPr>
          <xdr:cNvCxnSpPr/>
        </xdr:nvCxnSpPr>
        <xdr:spPr>
          <a:xfrm flipV="1">
            <a:off x="887896" y="12778740"/>
            <a:ext cx="308444" cy="55493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31E0D3B9-5A89-4EB5-BACD-2F4F0395475A}"/>
              </a:ext>
            </a:extLst>
          </xdr:cNvPr>
          <xdr:cNvCxnSpPr/>
        </xdr:nvCxnSpPr>
        <xdr:spPr>
          <a:xfrm flipH="1" flipV="1">
            <a:off x="5257800" y="12801600"/>
            <a:ext cx="397187" cy="748086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1513604E-5530-47FF-86C4-6C6641EB5AC6}"/>
              </a:ext>
            </a:extLst>
          </xdr:cNvPr>
          <xdr:cNvCxnSpPr/>
        </xdr:nvCxnSpPr>
        <xdr:spPr>
          <a:xfrm>
            <a:off x="5791200" y="13845540"/>
            <a:ext cx="1150620" cy="56388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6" name="Straight Arrow Connector 65">
            <a:extLst>
              <a:ext uri="{FF2B5EF4-FFF2-40B4-BE49-F238E27FC236}">
                <a16:creationId xmlns:a16="http://schemas.microsoft.com/office/drawing/2014/main" id="{EE89524B-2234-4763-9D30-9502D5A39B38}"/>
              </a:ext>
            </a:extLst>
          </xdr:cNvPr>
          <xdr:cNvCxnSpPr/>
        </xdr:nvCxnSpPr>
        <xdr:spPr>
          <a:xfrm flipV="1">
            <a:off x="7449710" y="12824460"/>
            <a:ext cx="665590" cy="72522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7" name="Straight Arrow Connector 66">
            <a:extLst>
              <a:ext uri="{FF2B5EF4-FFF2-40B4-BE49-F238E27FC236}">
                <a16:creationId xmlns:a16="http://schemas.microsoft.com/office/drawing/2014/main" id="{21E310DC-0357-4899-B865-9F76C84186FE}"/>
              </a:ext>
            </a:extLst>
          </xdr:cNvPr>
          <xdr:cNvCxnSpPr/>
        </xdr:nvCxnSpPr>
        <xdr:spPr>
          <a:xfrm>
            <a:off x="7437768" y="13823072"/>
            <a:ext cx="2521572" cy="834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DD93869A-2108-49CE-B1C3-400E515FEFA8}"/>
              </a:ext>
            </a:extLst>
          </xdr:cNvPr>
          <xdr:cNvCxnSpPr/>
        </xdr:nvCxnSpPr>
        <xdr:spPr>
          <a:xfrm flipH="1">
            <a:off x="4625340" y="14214944"/>
            <a:ext cx="960102" cy="255436"/>
          </a:xfrm>
          <a:prstGeom prst="straightConnector1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4"/>
          </a:lnRef>
          <a:fillRef idx="0">
            <a:schemeClr val="accent4"/>
          </a:fillRef>
          <a:effectRef idx="1">
            <a:schemeClr val="accent4"/>
          </a:effectRef>
          <a:fontRef idx="minor">
            <a:schemeClr val="tx1"/>
          </a:fontRef>
        </xdr:style>
      </xdr:cxn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6780F4C8-B578-0308-BF77-9154780FA3E0}"/>
              </a:ext>
            </a:extLst>
          </xdr:cNvPr>
          <xdr:cNvGrpSpPr/>
        </xdr:nvGrpSpPr>
        <xdr:grpSpPr>
          <a:xfrm>
            <a:off x="3169920" y="11978640"/>
            <a:ext cx="3589020" cy="1013460"/>
            <a:chOff x="6438900" y="10911840"/>
            <a:chExt cx="3589020" cy="967740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BE6A5DAD-62DD-8F7C-72F5-927F8C978E8F}"/>
                </a:ext>
              </a:extLst>
            </xdr:cNvPr>
            <xdr:cNvGrpSpPr/>
          </xdr:nvGrpSpPr>
          <xdr:grpSpPr>
            <a:xfrm>
              <a:off x="8437659" y="10956572"/>
              <a:ext cx="1518368" cy="574976"/>
              <a:chOff x="2001078" y="12305202"/>
              <a:chExt cx="1696279" cy="613510"/>
            </a:xfrm>
          </xdr:grpSpPr>
          <xdr:pic>
            <xdr:nvPicPr>
              <xdr:cNvPr id="51" name="Picture 50">
                <a:extLst>
                  <a:ext uri="{FF2B5EF4-FFF2-40B4-BE49-F238E27FC236}">
                    <a16:creationId xmlns:a16="http://schemas.microsoft.com/office/drawing/2014/main" id="{EFB6B5B2-A9BB-56B8-28BF-FC78CAC421C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2001078" y="12430539"/>
                <a:ext cx="1696279" cy="488173"/>
              </a:xfrm>
              <a:prstGeom prst="roundRect">
                <a:avLst>
                  <a:gd name="adj" fmla="val 42456"/>
                </a:avLst>
              </a:prstGeom>
            </xdr:spPr>
          </xdr:pic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3D32C40-9CA5-4852-92F5-78DA37C6A734}"/>
                  </a:ext>
                </a:extLst>
              </xdr:cNvPr>
              <xdr:cNvGrpSpPr/>
            </xdr:nvGrpSpPr>
            <xdr:grpSpPr>
              <a:xfrm>
                <a:off x="2385391" y="12305202"/>
                <a:ext cx="1013792" cy="295971"/>
                <a:chOff x="4657090" y="11834750"/>
                <a:chExt cx="1461797" cy="295971"/>
              </a:xfrm>
            </xdr:grpSpPr>
            <xdr:sp macro="" textlink="">
              <xdr:nvSpPr>
                <xdr:cNvPr id="11" name="Rectangle: Rounded Corners 10">
                  <a:extLst>
                    <a:ext uri="{FF2B5EF4-FFF2-40B4-BE49-F238E27FC236}">
                      <a16:creationId xmlns:a16="http://schemas.microsoft.com/office/drawing/2014/main" id="{194174EA-21CC-BB05-C1C0-F40AE06BDA12}"/>
                    </a:ext>
                  </a:extLst>
                </xdr:cNvPr>
                <xdr:cNvSpPr/>
              </xdr:nvSpPr>
              <xdr:spPr>
                <a:xfrm>
                  <a:off x="5825707" y="11978789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14" name="Rectangle: Rounded Corners 13">
                  <a:extLst>
                    <a:ext uri="{FF2B5EF4-FFF2-40B4-BE49-F238E27FC236}">
                      <a16:creationId xmlns:a16="http://schemas.microsoft.com/office/drawing/2014/main" id="{E1788A78-CAD2-4E7A-8BD2-BD82E24C37D1}"/>
                    </a:ext>
                  </a:extLst>
                </xdr:cNvPr>
                <xdr:cNvSpPr/>
              </xdr:nvSpPr>
              <xdr:spPr>
                <a:xfrm>
                  <a:off x="4657090" y="11981384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id="{7DE0165A-CF35-4485-97BC-9544C3D5F54A}"/>
                    </a:ext>
                  </a:extLst>
                </xdr:cNvPr>
                <xdr:cNvCxnSpPr>
                  <a:stCxn id="14" idx="3"/>
                  <a:endCxn id="11" idx="1"/>
                </xdr:cNvCxnSpPr>
              </xdr:nvCxnSpPr>
              <xdr:spPr>
                <a:xfrm flipV="1">
                  <a:off x="4950271" y="12054421"/>
                  <a:ext cx="875437" cy="259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2">
                  <a:schemeClr val="accent6"/>
                </a:lnRef>
                <a:fillRef idx="0">
                  <a:schemeClr val="accent6"/>
                </a:fillRef>
                <a:effectRef idx="1">
                  <a:schemeClr val="accent6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0" name="TextBox 19">
                  <a:extLst>
                    <a:ext uri="{FF2B5EF4-FFF2-40B4-BE49-F238E27FC236}">
                      <a16:creationId xmlns:a16="http://schemas.microsoft.com/office/drawing/2014/main" id="{A98D812D-914B-4441-8974-77682BBC4A9C}"/>
                    </a:ext>
                  </a:extLst>
                </xdr:cNvPr>
                <xdr:cNvSpPr txBox="1"/>
              </xdr:nvSpPr>
              <xdr:spPr>
                <a:xfrm>
                  <a:off x="5163391" y="11834750"/>
                  <a:ext cx="457889" cy="2449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PT" sz="1000" b="1">
                      <a:solidFill>
                        <a:srgbClr val="00B050"/>
                      </a:solidFill>
                    </a:rPr>
                    <a:t>1</a:t>
                  </a:r>
                </a:p>
              </xdr:txBody>
            </xdr:sp>
          </xdr:grpSp>
        </xdr:grp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FB09EA57-5829-CCEF-D61D-7C9CF0466596}"/>
                </a:ext>
              </a:extLst>
            </xdr:cNvPr>
            <xdr:cNvSpPr txBox="1"/>
          </xdr:nvSpPr>
          <xdr:spPr>
            <a:xfrm>
              <a:off x="6438900" y="10911840"/>
              <a:ext cx="2202180" cy="9677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</a:t>
              </a:r>
            </a:p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'Title' a célula das regiões irá se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deslocar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à direita da coluna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DD060723-F7B5-1B2E-8411-141919D6D96A}"/>
                </a:ext>
              </a:extLst>
            </xdr:cNvPr>
            <xdr:cNvSpPr/>
          </xdr:nvSpPr>
          <xdr:spPr>
            <a:xfrm>
              <a:off x="6522720" y="10962774"/>
              <a:ext cx="3505200" cy="647585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E629584F-DC3B-EC67-A426-ED44A245120A}"/>
              </a:ext>
            </a:extLst>
          </xdr:cNvPr>
          <xdr:cNvGrpSpPr/>
        </xdr:nvGrpSpPr>
        <xdr:grpSpPr>
          <a:xfrm>
            <a:off x="5219700" y="14478000"/>
            <a:ext cx="4511040" cy="998220"/>
            <a:chOff x="5334000" y="14409420"/>
            <a:chExt cx="4511040" cy="998220"/>
          </a:xfrm>
        </xdr:grpSpPr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B1941048-63AA-AB96-D1A6-3593DEC8AADC}"/>
                </a:ext>
              </a:extLst>
            </xdr:cNvPr>
            <xdr:cNvGrpSpPr/>
          </xdr:nvGrpSpPr>
          <xdr:grpSpPr>
            <a:xfrm>
              <a:off x="7587532" y="14489489"/>
              <a:ext cx="2175345" cy="717380"/>
              <a:chOff x="7759147" y="14584906"/>
              <a:chExt cx="2173357" cy="7279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FCF83411-6A60-F2D8-DBAE-572C7E7A5076}"/>
                  </a:ext>
                </a:extLst>
              </xdr:cNvPr>
              <xdr:cNvGrpSpPr/>
            </xdr:nvGrpSpPr>
            <xdr:grpSpPr>
              <a:xfrm>
                <a:off x="7759147" y="14584906"/>
                <a:ext cx="2173357" cy="727982"/>
                <a:chOff x="7764324" y="14415319"/>
                <a:chExt cx="2175014" cy="698104"/>
              </a:xfrm>
            </xdr:grpSpPr>
            <xdr:grpSp>
              <xdr:nvGrpSpPr>
                <xdr:cNvPr id="35" name="Group 34">
                  <a:extLst>
                    <a:ext uri="{FF2B5EF4-FFF2-40B4-BE49-F238E27FC236}">
                      <a16:creationId xmlns:a16="http://schemas.microsoft.com/office/drawing/2014/main" id="{2B1FCEDC-597C-D768-BF11-2F910F6F6B8A}"/>
                    </a:ext>
                  </a:extLst>
                </xdr:cNvPr>
                <xdr:cNvGrpSpPr/>
              </xdr:nvGrpSpPr>
              <xdr:grpSpPr>
                <a:xfrm>
                  <a:off x="7764324" y="14415319"/>
                  <a:ext cx="2175014" cy="698104"/>
                  <a:chOff x="7764324" y="14415319"/>
                  <a:chExt cx="2175014" cy="698104"/>
                </a:xfrm>
              </xdr:grpSpPr>
              <xdr:pic>
                <xdr:nvPicPr>
                  <xdr:cNvPr id="29" name="Picture 28">
                    <a:extLst>
                      <a:ext uri="{FF2B5EF4-FFF2-40B4-BE49-F238E27FC236}">
                        <a16:creationId xmlns:a16="http://schemas.microsoft.com/office/drawing/2014/main" id="{3DE84068-6907-03CF-D0C8-5C90C2B392D6}"/>
                      </a:ext>
                    </a:extLst>
                  </xdr:cNvPr>
                  <xdr:cNvPicPr>
                    <a:picLocks noChangeAspect="1"/>
                  </xdr:cNvPicPr>
                </xdr:nvPicPr>
                <xdr:blipFill rotWithShape="1">
                  <a:blip xmlns:r="http://schemas.openxmlformats.org/officeDocument/2006/relationships" r:embed="rId13"/>
                  <a:srcRect b="45004"/>
                  <a:stretch>
                    <a:fillRect/>
                  </a:stretch>
                </xdr:blipFill>
                <xdr:spPr>
                  <a:xfrm>
                    <a:off x="7764324" y="14415319"/>
                    <a:ext cx="2175014" cy="698104"/>
                  </a:xfrm>
                  <a:prstGeom prst="roundRect">
                    <a:avLst>
                      <a:gd name="adj" fmla="val 31963"/>
                    </a:avLst>
                  </a:prstGeom>
                </xdr:spPr>
              </xdr:pic>
              <xdr:sp macro="" textlink="">
                <xdr:nvSpPr>
                  <xdr:cNvPr id="33" name="TextBox 32">
                    <a:extLst>
                      <a:ext uri="{FF2B5EF4-FFF2-40B4-BE49-F238E27FC236}">
                        <a16:creationId xmlns:a16="http://schemas.microsoft.com/office/drawing/2014/main" id="{B0D819AB-8321-47FB-B017-9E6159C6E584}"/>
                      </a:ext>
                    </a:extLst>
                  </xdr:cNvPr>
                  <xdr:cNvSpPr txBox="1"/>
                </xdr:nvSpPr>
                <xdr:spPr>
                  <a:xfrm>
                    <a:off x="7854397" y="14692312"/>
                    <a:ext cx="165653" cy="15493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PT" sz="700" b="1">
                        <a:solidFill>
                          <a:srgbClr val="00B050"/>
                        </a:solidFill>
                      </a:rPr>
                      <a:t>1</a:t>
                    </a:r>
                  </a:p>
                </xdr:txBody>
              </xdr:sp>
            </xdr:grpSp>
            <xdr:sp macro="" textlink="">
              <xdr:nvSpPr>
                <xdr:cNvPr id="31" name="Arrow: Up-Down 30">
                  <a:extLst>
                    <a:ext uri="{FF2B5EF4-FFF2-40B4-BE49-F238E27FC236}">
                      <a16:creationId xmlns:a16="http://schemas.microsoft.com/office/drawing/2014/main" id="{DCDD2181-37F1-86F6-3FDF-24282FD2B22E}"/>
                    </a:ext>
                  </a:extLst>
                </xdr:cNvPr>
                <xdr:cNvSpPr/>
              </xdr:nvSpPr>
              <xdr:spPr>
                <a:xfrm>
                  <a:off x="788794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32" name="Arrow: Up-Down 31">
                  <a:extLst>
                    <a:ext uri="{FF2B5EF4-FFF2-40B4-BE49-F238E27FC236}">
                      <a16:creationId xmlns:a16="http://schemas.microsoft.com/office/drawing/2014/main" id="{64357EBE-5C94-4234-BBE6-0631731F99D5}"/>
                    </a:ext>
                  </a:extLst>
                </xdr:cNvPr>
                <xdr:cNvSpPr/>
              </xdr:nvSpPr>
              <xdr:spPr>
                <a:xfrm>
                  <a:off x="935479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</xdr:grpSp>
          <xdr:sp macro="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1AC83B5-AFEB-4A09-9A9F-EAB27DBA563D}"/>
                  </a:ext>
                </a:extLst>
              </xdr:cNvPr>
              <xdr:cNvSpPr txBox="1"/>
            </xdr:nvSpPr>
            <xdr:spPr>
              <a:xfrm>
                <a:off x="9218750" y="14875004"/>
                <a:ext cx="165653" cy="1594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700" b="1">
                    <a:solidFill>
                      <a:srgbClr val="00B050"/>
                    </a:solidFill>
                  </a:rPr>
                  <a:t>1</a:t>
                </a:r>
              </a:p>
            </xdr:txBody>
          </xdr:sp>
        </xdr:grpSp>
        <xdr:sp macro="" textlink="">
          <xdr:nvSpPr>
            <xdr:cNvPr id="69" name="Rectangle: Rounded Corners 68">
              <a:extLst>
                <a:ext uri="{FF2B5EF4-FFF2-40B4-BE49-F238E27FC236}">
                  <a16:creationId xmlns:a16="http://schemas.microsoft.com/office/drawing/2014/main" id="{F982975F-11CF-453A-97A9-C8F3688CB445}"/>
                </a:ext>
              </a:extLst>
            </xdr:cNvPr>
            <xdr:cNvSpPr/>
          </xdr:nvSpPr>
          <xdr:spPr>
            <a:xfrm>
              <a:off x="5417820" y="14409420"/>
              <a:ext cx="4427220" cy="914400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A14C54A0-AD45-4307-B514-4BACBF568A93}"/>
                </a:ext>
              </a:extLst>
            </xdr:cNvPr>
            <xdr:cNvSpPr txBox="1"/>
          </xdr:nvSpPr>
          <xdr:spPr>
            <a:xfrm>
              <a:off x="5334000" y="14478000"/>
              <a:ext cx="24003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 'Header'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existirá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de distância ao input da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instrução anterior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5D1CFB74-1373-6696-77E7-83585280B35E}"/>
              </a:ext>
            </a:extLst>
          </xdr:cNvPr>
          <xdr:cNvGrpSpPr/>
        </xdr:nvGrpSpPr>
        <xdr:grpSpPr>
          <a:xfrm>
            <a:off x="1287780" y="14462760"/>
            <a:ext cx="3352800" cy="1013460"/>
            <a:chOff x="274320" y="14378940"/>
            <a:chExt cx="3352800" cy="1013460"/>
          </a:xfrm>
        </xdr:grpSpPr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942D7280-8658-0B9E-3811-452C58816942}"/>
                </a:ext>
              </a:extLst>
            </xdr:cNvPr>
            <xdr:cNvGrpSpPr/>
          </xdr:nvGrpSpPr>
          <xdr:grpSpPr>
            <a:xfrm>
              <a:off x="363439" y="14477338"/>
              <a:ext cx="1492192" cy="764649"/>
              <a:chOff x="3471073" y="14882192"/>
              <a:chExt cx="1491861" cy="731856"/>
            </a:xfrm>
          </xdr:grpSpPr>
          <xdr:pic>
            <xdr:nvPicPr>
              <xdr:cNvPr id="47" name="Picture 46">
                <a:extLst>
                  <a:ext uri="{FF2B5EF4-FFF2-40B4-BE49-F238E27FC236}">
                    <a16:creationId xmlns:a16="http://schemas.microsoft.com/office/drawing/2014/main" id="{39C8F368-E86F-CB05-CE3B-A6AF33944F9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3471073" y="14882192"/>
                <a:ext cx="1491861" cy="731856"/>
              </a:xfrm>
              <a:prstGeom prst="roundRect">
                <a:avLst>
                  <a:gd name="adj" fmla="val 19786"/>
                </a:avLst>
              </a:prstGeom>
            </xdr:spPr>
          </xdr:pic>
          <xdr:sp macro="" textlink="">
            <xdr:nvSpPr>
              <xdr:cNvPr id="45" name="Arrow: Up-Down 44">
                <a:extLst>
                  <a:ext uri="{FF2B5EF4-FFF2-40B4-BE49-F238E27FC236}">
                    <a16:creationId xmlns:a16="http://schemas.microsoft.com/office/drawing/2014/main" id="{08C71ABF-C6BA-4DC7-932C-A546FC626A26}"/>
                  </a:ext>
                </a:extLst>
              </xdr:cNvPr>
              <xdr:cNvSpPr/>
            </xdr:nvSpPr>
            <xdr:spPr>
              <a:xfrm>
                <a:off x="4347399" y="15015856"/>
                <a:ext cx="45719" cy="448315"/>
              </a:xfrm>
              <a:prstGeom prst="upDownArrow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46" name="TextBox 45">
                <a:extLst>
                  <a:ext uri="{FF2B5EF4-FFF2-40B4-BE49-F238E27FC236}">
                    <a16:creationId xmlns:a16="http://schemas.microsoft.com/office/drawing/2014/main" id="{6FB3D49A-94AF-453A-81E4-2035147FE2D6}"/>
                  </a:ext>
                </a:extLst>
              </xdr:cNvPr>
              <xdr:cNvSpPr txBox="1"/>
            </xdr:nvSpPr>
            <xdr:spPr>
              <a:xfrm>
                <a:off x="4314494" y="15097424"/>
                <a:ext cx="257504" cy="25910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1200" b="1">
                    <a:solidFill>
                      <a:schemeClr val="accent4">
                        <a:lumMod val="40000"/>
                        <a:lumOff val="60000"/>
                      </a:schemeClr>
                    </a:solidFill>
                  </a:rPr>
                  <a:t>4</a:t>
                </a:r>
              </a:p>
            </xdr:txBody>
          </xdr:sp>
        </xdr:grpSp>
        <xdr:sp macro="" textlink="">
          <xdr:nvSpPr>
            <xdr:cNvPr id="73" name="Rectangle: Rounded Corners 72">
              <a:extLst>
                <a:ext uri="{FF2B5EF4-FFF2-40B4-BE49-F238E27FC236}">
                  <a16:creationId xmlns:a16="http://schemas.microsoft.com/office/drawing/2014/main" id="{1FACC1AD-3531-419D-AFE7-26753780CC77}"/>
                </a:ext>
              </a:extLst>
            </xdr:cNvPr>
            <xdr:cNvSpPr/>
          </xdr:nvSpPr>
          <xdr:spPr>
            <a:xfrm>
              <a:off x="274320" y="14378940"/>
              <a:ext cx="3268980" cy="975360"/>
            </a:xfrm>
            <a:prstGeom prst="roundRect">
              <a:avLst>
                <a:gd name="adj" fmla="val 23162"/>
              </a:avLst>
            </a:prstGeom>
            <a:noFill/>
            <a:ln w="28575">
              <a:solidFill>
                <a:schemeClr val="accent4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1F134A0E-A1B4-4F77-852C-7FD3322D9C2C}"/>
                </a:ext>
              </a:extLst>
            </xdr:cNvPr>
            <xdr:cNvSpPr txBox="1"/>
          </xdr:nvSpPr>
          <xdr:spPr>
            <a:xfrm>
              <a:off x="1836420" y="14462760"/>
              <a:ext cx="17907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definir a distância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as tabelas irão ter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células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 distância entre si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A0ADAAF-CF5F-1148-B8C5-8D53F3742746}"/>
              </a:ext>
            </a:extLst>
          </xdr:cNvPr>
          <xdr:cNvSpPr txBox="1"/>
        </xdr:nvSpPr>
        <xdr:spPr>
          <a:xfrm>
            <a:off x="571500" y="12344400"/>
            <a:ext cx="1706880" cy="373380"/>
          </a:xfrm>
          <a:prstGeom prst="roundRect">
            <a:avLst>
              <a:gd name="adj" fmla="val 50000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Preenchimento opcional</a:t>
            </a:r>
            <a:r>
              <a:rPr lang="pt-PT">
                <a:solidFill>
                  <a:schemeClr val="bg1"/>
                </a:solidFill>
              </a:rPr>
              <a:t> 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6B220EE-40E6-3BD9-A6C7-842D67532D60}"/>
              </a:ext>
            </a:extLst>
          </xdr:cNvPr>
          <xdr:cNvSpPr txBox="1"/>
        </xdr:nvSpPr>
        <xdr:spPr>
          <a:xfrm>
            <a:off x="7414260" y="12001500"/>
            <a:ext cx="1813560" cy="723900"/>
          </a:xfrm>
          <a:prstGeom prst="roundRect">
            <a:avLst>
              <a:gd name="adj" fmla="val 24035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As "Regiões"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colunas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'Width'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C1AB1D12-BDE7-403A-90B5-41E958BC2BA3}"/>
              </a:ext>
            </a:extLst>
          </xdr:cNvPr>
          <xdr:cNvSpPr txBox="1"/>
        </xdr:nvSpPr>
        <xdr:spPr>
          <a:xfrm>
            <a:off x="10050780" y="13510260"/>
            <a:ext cx="1783080" cy="807720"/>
          </a:xfrm>
          <a:prstGeom prst="roundRect">
            <a:avLst>
              <a:gd name="adj" fmla="val 33509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O cabeçalho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4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linhas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</a:t>
            </a:r>
            <a:r>
              <a:rPr lang="pt-PT">
                <a:solidFill>
                  <a:schemeClr val="bg1"/>
                </a:solidFill>
              </a:rPr>
              <a:t>'</a:t>
            </a:r>
            <a:endParaRPr lang="pt-PT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10</xdr:col>
      <xdr:colOff>266700</xdr:colOff>
      <xdr:row>56</xdr:row>
      <xdr:rowOff>266700</xdr:rowOff>
    </xdr:from>
    <xdr:to>
      <xdr:col>11</xdr:col>
      <xdr:colOff>528683</xdr:colOff>
      <xdr:row>60</xdr:row>
      <xdr:rowOff>66376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91DF4A5A-F3ED-C71C-A446-A3767BFB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5180" y="17480280"/>
          <a:ext cx="871583" cy="1163656"/>
        </a:xfrm>
        <a:prstGeom prst="roundRect">
          <a:avLst>
            <a:gd name="adj" fmla="val 21913"/>
          </a:avLst>
        </a:prstGeom>
        <a:ln w="28575"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107</xdr:row>
      <xdr:rowOff>26895</xdr:rowOff>
    </xdr:from>
    <xdr:to>
      <xdr:col>4</xdr:col>
      <xdr:colOff>1565563</xdr:colOff>
      <xdr:row>108</xdr:row>
      <xdr:rowOff>9397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8614204-A63A-D1B0-9EC2-70C6513C3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048824"/>
          <a:ext cx="4470128" cy="3353232"/>
        </a:xfrm>
        <a:prstGeom prst="round2DiagRect">
          <a:avLst>
            <a:gd name="adj1" fmla="val 3846"/>
            <a:gd name="adj2" fmla="val 10159"/>
          </a:avLst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1401428</xdr:colOff>
      <xdr:row>107</xdr:row>
      <xdr:rowOff>1572594</xdr:rowOff>
    </xdr:from>
    <xdr:to>
      <xdr:col>7</xdr:col>
      <xdr:colOff>55938</xdr:colOff>
      <xdr:row>107</xdr:row>
      <xdr:rowOff>3366247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4CD211B-2ED9-30B3-C3B3-1A6FC40AD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264346" y="33594523"/>
          <a:ext cx="1845945" cy="1793653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2324861</xdr:colOff>
      <xdr:row>107</xdr:row>
      <xdr:rowOff>1401632</xdr:rowOff>
    </xdr:from>
    <xdr:to>
      <xdr:col>5</xdr:col>
      <xdr:colOff>1004512</xdr:colOff>
      <xdr:row>107</xdr:row>
      <xdr:rowOff>3219086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4619363-EBEB-593A-639F-800E3B573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839026" y="33423561"/>
          <a:ext cx="1028404" cy="1817454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2307516</xdr:colOff>
      <xdr:row>106</xdr:row>
      <xdr:rowOff>167299</xdr:rowOff>
    </xdr:from>
    <xdr:to>
      <xdr:col>6</xdr:col>
      <xdr:colOff>230045</xdr:colOff>
      <xdr:row>107</xdr:row>
      <xdr:rowOff>1064614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BC3A626-225C-4ACF-6B9A-2FB0599FA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21681" y="32009934"/>
          <a:ext cx="2458670" cy="107660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1394433</xdr:colOff>
      <xdr:row>105</xdr:row>
      <xdr:rowOff>1948926</xdr:rowOff>
    </xdr:from>
    <xdr:to>
      <xdr:col>7</xdr:col>
      <xdr:colOff>73060</xdr:colOff>
      <xdr:row>105</xdr:row>
      <xdr:rowOff>3518405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0676512-C9C7-4058-4C8C-794B4EE8B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257351" y="29649867"/>
          <a:ext cx="1870062" cy="156947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2236694</xdr:colOff>
      <xdr:row>105</xdr:row>
      <xdr:rowOff>1709570</xdr:rowOff>
    </xdr:from>
    <xdr:to>
      <xdr:col>5</xdr:col>
      <xdr:colOff>937655</xdr:colOff>
      <xdr:row>105</xdr:row>
      <xdr:rowOff>3335769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170C299-F8FD-8342-B384-C48291A2D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750859" y="29410511"/>
          <a:ext cx="1049714" cy="162619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2058375</xdr:colOff>
      <xdr:row>105</xdr:row>
      <xdr:rowOff>360500</xdr:rowOff>
    </xdr:from>
    <xdr:to>
      <xdr:col>5</xdr:col>
      <xdr:colOff>2111371</xdr:colOff>
      <xdr:row>105</xdr:row>
      <xdr:rowOff>1379668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78D0353-B7A7-85C9-3050-D2297CA3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572540" y="28061441"/>
          <a:ext cx="2401749" cy="1019168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1</xdr:col>
      <xdr:colOff>8964</xdr:colOff>
      <xdr:row>105</xdr:row>
      <xdr:rowOff>62754</xdr:rowOff>
    </xdr:from>
    <xdr:to>
      <xdr:col>4</xdr:col>
      <xdr:colOff>1314110</xdr:colOff>
      <xdr:row>105</xdr:row>
      <xdr:rowOff>3926542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2D53658-1949-574A-163C-CAA890F0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8564" y="27940231"/>
          <a:ext cx="4206608" cy="3863788"/>
        </a:xfrm>
        <a:prstGeom prst="round2DiagRect">
          <a:avLst>
            <a:gd name="adj1" fmla="val 3186"/>
            <a:gd name="adj2" fmla="val 9977"/>
          </a:avLst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4</xdr:col>
      <xdr:colOff>2205317</xdr:colOff>
      <xdr:row>105</xdr:row>
      <xdr:rowOff>1461249</xdr:rowOff>
    </xdr:from>
    <xdr:to>
      <xdr:col>5</xdr:col>
      <xdr:colOff>466167</xdr:colOff>
      <xdr:row>105</xdr:row>
      <xdr:rowOff>1676401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9DEF687-1985-43BC-A1DD-BDCDF294ED46}"/>
            </a:ext>
          </a:extLst>
        </xdr:cNvPr>
        <xdr:cNvSpPr txBox="1"/>
      </xdr:nvSpPr>
      <xdr:spPr>
        <a:xfrm>
          <a:off x="5719482" y="29162190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2034984</xdr:colOff>
      <xdr:row>105</xdr:row>
      <xdr:rowOff>116542</xdr:rowOff>
    </xdr:from>
    <xdr:to>
      <xdr:col>5</xdr:col>
      <xdr:colOff>295834</xdr:colOff>
      <xdr:row>105</xdr:row>
      <xdr:rowOff>331694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6F1B7AE-A64E-4BA1-A052-BD3379507DD9}"/>
            </a:ext>
          </a:extLst>
        </xdr:cNvPr>
        <xdr:cNvSpPr txBox="1"/>
      </xdr:nvSpPr>
      <xdr:spPr>
        <a:xfrm>
          <a:off x="5549149" y="27817483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1371598</xdr:colOff>
      <xdr:row>105</xdr:row>
      <xdr:rowOff>1667436</xdr:rowOff>
    </xdr:from>
    <xdr:to>
      <xdr:col>5</xdr:col>
      <xdr:colOff>2017058</xdr:colOff>
      <xdr:row>105</xdr:row>
      <xdr:rowOff>1918446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3FA5A35-E2F4-4FED-8FED-A1DA5DF3154F}"/>
            </a:ext>
          </a:extLst>
        </xdr:cNvPr>
        <xdr:cNvSpPr txBox="1"/>
      </xdr:nvSpPr>
      <xdr:spPr>
        <a:xfrm>
          <a:off x="7234516" y="29368377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  <xdr:twoCellAnchor>
    <xdr:from>
      <xdr:col>4</xdr:col>
      <xdr:colOff>2294964</xdr:colOff>
      <xdr:row>107</xdr:row>
      <xdr:rowOff>1165416</xdr:rowOff>
    </xdr:from>
    <xdr:to>
      <xdr:col>5</xdr:col>
      <xdr:colOff>555814</xdr:colOff>
      <xdr:row>107</xdr:row>
      <xdr:rowOff>1380568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5A891B-08A3-4D81-94D3-8F41AA66DBCA}"/>
            </a:ext>
          </a:extLst>
        </xdr:cNvPr>
        <xdr:cNvSpPr txBox="1"/>
      </xdr:nvSpPr>
      <xdr:spPr>
        <a:xfrm>
          <a:off x="5809129" y="33187345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2268067</xdr:colOff>
      <xdr:row>105</xdr:row>
      <xdr:rowOff>4078945</xdr:rowOff>
    </xdr:from>
    <xdr:to>
      <xdr:col>5</xdr:col>
      <xdr:colOff>528917</xdr:colOff>
      <xdr:row>106</xdr:row>
      <xdr:rowOff>152403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ABAAD60-65E9-4DA1-A8EE-8E087FCC3DD6}"/>
            </a:ext>
          </a:extLst>
        </xdr:cNvPr>
        <xdr:cNvSpPr txBox="1"/>
      </xdr:nvSpPr>
      <xdr:spPr>
        <a:xfrm>
          <a:off x="5782232" y="31779886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1389525</xdr:colOff>
      <xdr:row>107</xdr:row>
      <xdr:rowOff>1299886</xdr:rowOff>
    </xdr:from>
    <xdr:to>
      <xdr:col>5</xdr:col>
      <xdr:colOff>2034985</xdr:colOff>
      <xdr:row>107</xdr:row>
      <xdr:rowOff>1550896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B1175B20-E526-4C7D-99DD-25B9E2EC7FC5}"/>
            </a:ext>
          </a:extLst>
        </xdr:cNvPr>
        <xdr:cNvSpPr txBox="1"/>
      </xdr:nvSpPr>
      <xdr:spPr>
        <a:xfrm>
          <a:off x="7252443" y="33321815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B5684099-DB8A-4F8B-A12A-D31EEAC5B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0A21E-9500-449C-B049-29AD9323F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3" name="Picture 2" descr="Moodle Iscte – Iscte-Informática">
          <a:extLst>
            <a:ext uri="{FF2B5EF4-FFF2-40B4-BE49-F238E27FC236}">
              <a16:creationId xmlns:a16="http://schemas.microsoft.com/office/drawing/2014/main" id="{1F8AA40D-E65A-473C-8287-4EE5A646E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A0F2CA-5660-4E6A-8421-8F6368B0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F79844F1-29AB-4843-8106-3B78B9B3F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4605"/>
          <a:ext cx="1998560" cy="377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CB0EE5-E835-4BB8-896E-FCAE24EB3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880"/>
          <a:ext cx="913576" cy="363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E39C6FB6-2604-4269-9FE1-4C49B8FA3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54FB6-09B3-485A-B72A-B4520B84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9185C746-C561-4ED0-B684-62E376B94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3D64EC-76BD-4F05-8E29-9F479929E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24242</xdr:rowOff>
    </xdr:to>
    <xdr:pic>
      <xdr:nvPicPr>
        <xdr:cNvPr id="4" name="Picture 3" descr="Moodle Iscte – Iscte-Informática">
          <a:extLst>
            <a:ext uri="{FF2B5EF4-FFF2-40B4-BE49-F238E27FC236}">
              <a16:creationId xmlns:a16="http://schemas.microsoft.com/office/drawing/2014/main" id="{866983D0-27A6-4F0F-BB8D-13E6C48D1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5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178728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80491B-A09E-41C2-9C05-D58FE41D6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975"/>
          <a:ext cx="913576" cy="3597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D8ADFE-E7A8-4A58-BAAF-23086B3A80D2}" name="Table_SheetList" displayName="Table_SheetList" ref="G2:G20" totalsRowShown="0">
  <autoFilter ref="G2:G20" xr:uid="{19D8ADFE-E7A8-4A58-BAAF-23086B3A80D2}"/>
  <tableColumns count="1">
    <tableColumn id="1" xr3:uid="{D9570F77-A4B7-4811-B23C-9B8097122828}" name="Sheets Nam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7891A-CC9B-4555-905D-71071D614426}" name="Boolean" displayName="Boolean" ref="E2:E4" totalsRowShown="0">
  <autoFilter ref="E2:E4" xr:uid="{4847891A-CC9B-4555-905D-71071D614426}"/>
  <tableColumns count="1">
    <tableColumn id="1" xr3:uid="{18B6AD3A-CCE5-40B5-8D68-45915DDDAC7D}" name="Boole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4B62B9-327F-4D56-8A74-A2A1BD8D4B1F}" name="Instructions_Types" displayName="Instructions_Types" ref="C2:C7" totalsRowShown="0">
  <autoFilter ref="C2:C7" xr:uid="{184B62B9-327F-4D56-8A74-A2A1BD8D4B1F}"/>
  <tableColumns count="1">
    <tableColumn id="1" xr3:uid="{D7D3AB2C-1DF2-43E3-875F-1B8B269ECD1F}" name="Instructions 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2617B8-4102-4A1C-BCDD-33F49D59EB2C}" name="Clear_Data_Options" displayName="Clear_Data_Options" ref="K2:K6" totalsRowShown="0">
  <autoFilter ref="K2:K6" xr:uid="{3E2617B8-4102-4A1C-BCDD-33F49D59EB2C}"/>
  <tableColumns count="1">
    <tableColumn id="1" xr3:uid="{5B360CFD-97FE-49E7-9070-7EDBEACB2D20}" name="Clear Data Option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A5FD48-94B8-45B9-A56A-5ACD2EDFFAD6}" name="Option_Auto" displayName="Option_Auto" ref="M2:M4" totalsRowShown="0">
  <autoFilter ref="M2:M4" xr:uid="{86A5FD48-94B8-45B9-A56A-5ACD2EDFFAD6}"/>
  <tableColumns count="1">
    <tableColumn id="1" xr3:uid="{A1647DD4-6DD8-4C05-9CBA-9FB6A9C69904}" name="Option Au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BA48-3C9C-4E9E-9C32-72B8526E8CF8}">
  <sheetPr codeName="Sheet14">
    <tabColor theme="4" tint="-0.499984740745262"/>
  </sheetPr>
  <dimension ref="B6:I13"/>
  <sheetViews>
    <sheetView zoomScaleNormal="100" workbookViewId="0">
      <selection activeCell="H27" sqref="H27"/>
    </sheetView>
  </sheetViews>
  <sheetFormatPr defaultColWidth="8.85546875" defaultRowHeight="15" x14ac:dyDescent="0.25"/>
  <cols>
    <col min="1" max="16384" width="8.85546875" style="14"/>
  </cols>
  <sheetData>
    <row r="6" spans="2:9" ht="14.45" customHeight="1" x14ac:dyDescent="0.25">
      <c r="B6" s="134" t="s">
        <v>48</v>
      </c>
      <c r="C6" s="134"/>
      <c r="D6" s="134"/>
      <c r="E6" s="134"/>
      <c r="F6" s="134"/>
      <c r="G6" s="134"/>
      <c r="H6" s="134"/>
      <c r="I6" s="134"/>
    </row>
    <row r="7" spans="2:9" ht="14.45" customHeight="1" x14ac:dyDescent="0.25">
      <c r="B7" s="134"/>
      <c r="C7" s="134"/>
      <c r="D7" s="134"/>
      <c r="E7" s="134"/>
      <c r="F7" s="134"/>
      <c r="G7" s="134"/>
      <c r="H7" s="134"/>
      <c r="I7" s="134"/>
    </row>
    <row r="8" spans="2:9" ht="14.45" customHeight="1" x14ac:dyDescent="0.25">
      <c r="B8" s="134"/>
      <c r="C8" s="134"/>
      <c r="D8" s="134"/>
      <c r="E8" s="134"/>
      <c r="F8" s="134"/>
      <c r="G8" s="134"/>
      <c r="H8" s="134"/>
      <c r="I8" s="134"/>
    </row>
    <row r="9" spans="2:9" x14ac:dyDescent="0.25">
      <c r="B9" s="16" t="s">
        <v>77</v>
      </c>
    </row>
    <row r="10" spans="2:9" x14ac:dyDescent="0.25">
      <c r="B10" s="16" t="s">
        <v>101</v>
      </c>
    </row>
    <row r="13" spans="2:9" x14ac:dyDescent="0.25">
      <c r="B13" s="43" t="s">
        <v>83</v>
      </c>
    </row>
  </sheetData>
  <mergeCells count="1">
    <mergeCell ref="B6:I8"/>
  </mergeCells>
  <pageMargins left="0.7" right="0.7" top="0.75" bottom="0.75" header="0.3" footer="0.3"/>
  <cellWatches>
    <cellWatch r="A4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6A488-D0E2-41EA-9765-D376B14924CF}">
  <sheetPr codeName="Sheet3">
    <tabColor theme="4" tint="-0.249977111117893"/>
  </sheetPr>
  <dimension ref="A2:O119"/>
  <sheetViews>
    <sheetView zoomScale="85" zoomScaleNormal="85" workbookViewId="0">
      <selection activeCell="I12" sqref="I12"/>
    </sheetView>
  </sheetViews>
  <sheetFormatPr defaultColWidth="8.85546875" defaultRowHeight="15" x14ac:dyDescent="0.25"/>
  <cols>
    <col min="1" max="1" width="8.85546875" style="16"/>
    <col min="2" max="2" width="7.42578125" style="16" customWidth="1"/>
    <col min="3" max="3" width="12.85546875" style="16" customWidth="1"/>
    <col min="4" max="4" width="22" style="16" customWidth="1"/>
    <col min="5" max="5" width="34.28515625" style="16" customWidth="1"/>
    <col min="6" max="6" width="31.85546875" style="16" customWidth="1"/>
    <col min="7" max="7" width="14.7109375" style="16" customWidth="1"/>
    <col min="8" max="8" width="11.42578125" style="16" customWidth="1"/>
    <col min="9" max="16384" width="8.85546875" style="16"/>
  </cols>
  <sheetData>
    <row r="2" spans="2:5" x14ac:dyDescent="0.25">
      <c r="E2" s="16" t="s">
        <v>126</v>
      </c>
    </row>
    <row r="3" spans="2:5" ht="36" x14ac:dyDescent="0.55000000000000004">
      <c r="B3" s="55" t="s">
        <v>66</v>
      </c>
      <c r="E3" s="16" t="s">
        <v>65</v>
      </c>
    </row>
    <row r="6" spans="2:5" ht="18.75" x14ac:dyDescent="0.3">
      <c r="B6" s="54" t="s">
        <v>100</v>
      </c>
    </row>
    <row r="7" spans="2:5" x14ac:dyDescent="0.25">
      <c r="B7" s="16" t="s">
        <v>81</v>
      </c>
    </row>
    <row r="9" spans="2:5" ht="261" customHeight="1" x14ac:dyDescent="0.25"/>
    <row r="12" spans="2:5" x14ac:dyDescent="0.25">
      <c r="B12" s="16" t="s">
        <v>92</v>
      </c>
    </row>
    <row r="13" spans="2:5" x14ac:dyDescent="0.25">
      <c r="B13" s="16" t="s">
        <v>82</v>
      </c>
    </row>
    <row r="14" spans="2:5" ht="76.150000000000006" customHeight="1" x14ac:dyDescent="0.25"/>
    <row r="16" spans="2:5" x14ac:dyDescent="0.25">
      <c r="B16" s="16" t="s">
        <v>79</v>
      </c>
    </row>
    <row r="17" spans="2:11" ht="42.6" customHeight="1" x14ac:dyDescent="0.25">
      <c r="F17" s="17"/>
      <c r="G17" s="17"/>
    </row>
    <row r="18" spans="2:11" x14ac:dyDescent="0.25">
      <c r="F18" s="17"/>
      <c r="G18" s="17"/>
    </row>
    <row r="19" spans="2:11" x14ac:dyDescent="0.25">
      <c r="B19" s="16" t="s">
        <v>80</v>
      </c>
      <c r="F19" s="17"/>
      <c r="G19" s="17"/>
    </row>
    <row r="20" spans="2:11" ht="123" customHeight="1" x14ac:dyDescent="0.25">
      <c r="F20" s="17"/>
      <c r="G20" s="17"/>
    </row>
    <row r="21" spans="2:11" ht="14.45" customHeight="1" x14ac:dyDescent="0.25">
      <c r="F21" s="17"/>
      <c r="G21" s="17"/>
    </row>
    <row r="22" spans="2:11" ht="14.45" customHeight="1" x14ac:dyDescent="0.25">
      <c r="B22" s="16" t="s">
        <v>89</v>
      </c>
      <c r="F22" s="17"/>
      <c r="G22" s="17"/>
    </row>
    <row r="23" spans="2:11" x14ac:dyDescent="0.25">
      <c r="B23" s="16" t="s">
        <v>88</v>
      </c>
    </row>
    <row r="24" spans="2:11" x14ac:dyDescent="0.25">
      <c r="B24" s="16" t="s">
        <v>90</v>
      </c>
    </row>
    <row r="25" spans="2:11" x14ac:dyDescent="0.25">
      <c r="B25" s="46" t="s">
        <v>94</v>
      </c>
      <c r="C25" s="17"/>
      <c r="D25" s="17"/>
    </row>
    <row r="26" spans="2:11" ht="59.45" customHeight="1" x14ac:dyDescent="0.25">
      <c r="B26" s="17"/>
      <c r="C26" s="135" t="s">
        <v>95</v>
      </c>
      <c r="D26" s="135"/>
      <c r="E26" s="135"/>
      <c r="F26" s="135"/>
      <c r="G26" s="135"/>
      <c r="H26" s="135"/>
    </row>
    <row r="27" spans="2:11" x14ac:dyDescent="0.25">
      <c r="B27" s="46" t="s">
        <v>96</v>
      </c>
      <c r="D27" s="17"/>
      <c r="E27" s="17"/>
    </row>
    <row r="28" spans="2:11" x14ac:dyDescent="0.25">
      <c r="B28" s="46" t="s">
        <v>98</v>
      </c>
    </row>
    <row r="29" spans="2:11" x14ac:dyDescent="0.25">
      <c r="B29" s="16" t="s">
        <v>99</v>
      </c>
    </row>
    <row r="31" spans="2:11" x14ac:dyDescent="0.25">
      <c r="E31" s="45"/>
      <c r="F31" s="45"/>
      <c r="G31" s="45"/>
      <c r="H31" s="45"/>
      <c r="I31" s="45"/>
    </row>
    <row r="32" spans="2:11" x14ac:dyDescent="0.25">
      <c r="B32" s="46" t="s">
        <v>87</v>
      </c>
      <c r="E32" s="48"/>
      <c r="G32" s="48"/>
      <c r="H32" s="48"/>
      <c r="I32" s="48"/>
      <c r="J32" s="48"/>
      <c r="K32" s="48"/>
    </row>
    <row r="33" spans="2:11" x14ac:dyDescent="0.25">
      <c r="E33" s="51"/>
      <c r="G33" s="49"/>
      <c r="H33" s="48"/>
      <c r="I33" s="48"/>
      <c r="J33" s="48"/>
      <c r="K33" s="48"/>
    </row>
    <row r="34" spans="2:11" x14ac:dyDescent="0.25">
      <c r="B34" s="48"/>
      <c r="E34" s="48"/>
      <c r="H34" s="48"/>
      <c r="I34" s="48"/>
      <c r="J34" s="48"/>
      <c r="K34" s="48"/>
    </row>
    <row r="35" spans="2:11" x14ac:dyDescent="0.25">
      <c r="E35" s="45"/>
      <c r="F35" s="45"/>
      <c r="H35" s="45"/>
      <c r="I35" s="45"/>
    </row>
    <row r="36" spans="2:11" x14ac:dyDescent="0.25">
      <c r="E36" s="45"/>
      <c r="F36" s="45"/>
      <c r="G36" s="45"/>
      <c r="H36" s="45"/>
      <c r="I36" s="45"/>
    </row>
    <row r="37" spans="2:11" x14ac:dyDescent="0.25">
      <c r="E37" s="45"/>
      <c r="F37" s="45"/>
      <c r="G37" s="45"/>
      <c r="H37" s="45"/>
      <c r="I37" s="45"/>
    </row>
    <row r="38" spans="2:11" x14ac:dyDescent="0.25">
      <c r="E38" s="45"/>
      <c r="F38" s="45"/>
      <c r="G38" s="45"/>
      <c r="H38" s="45"/>
      <c r="I38" s="45"/>
    </row>
    <row r="39" spans="2:11" x14ac:dyDescent="0.25">
      <c r="E39" s="45"/>
      <c r="F39" s="45"/>
      <c r="G39" s="45"/>
      <c r="H39" s="45"/>
      <c r="I39" s="45"/>
    </row>
    <row r="40" spans="2:11" x14ac:dyDescent="0.25">
      <c r="E40" s="45"/>
      <c r="F40" s="45"/>
      <c r="G40" s="45"/>
      <c r="H40" s="45"/>
      <c r="I40" s="45"/>
      <c r="J40" s="48"/>
    </row>
    <row r="41" spans="2:11" x14ac:dyDescent="0.25">
      <c r="E41" s="45"/>
      <c r="F41" s="45"/>
      <c r="G41" s="45"/>
      <c r="H41" s="45"/>
      <c r="I41" s="45"/>
      <c r="J41" s="49"/>
    </row>
    <row r="42" spans="2:11" x14ac:dyDescent="0.25">
      <c r="E42" s="45"/>
      <c r="F42" s="45"/>
      <c r="G42" s="45"/>
      <c r="H42" s="45"/>
      <c r="I42" s="45"/>
    </row>
    <row r="43" spans="2:11" x14ac:dyDescent="0.25">
      <c r="E43" s="45"/>
      <c r="F43" s="45"/>
      <c r="G43" s="45"/>
      <c r="H43" s="45"/>
      <c r="I43" s="45"/>
    </row>
    <row r="44" spans="2:11" x14ac:dyDescent="0.25">
      <c r="E44" s="45"/>
      <c r="F44" s="45"/>
      <c r="G44" s="45"/>
      <c r="H44" s="45"/>
      <c r="I44" s="45"/>
    </row>
    <row r="45" spans="2:11" x14ac:dyDescent="0.25">
      <c r="E45" s="45"/>
      <c r="F45" s="48"/>
      <c r="G45" s="45"/>
    </row>
    <row r="46" spans="2:11" x14ac:dyDescent="0.25">
      <c r="E46" s="45"/>
      <c r="F46" s="48"/>
      <c r="G46" s="45"/>
    </row>
    <row r="47" spans="2:11" x14ac:dyDescent="0.25">
      <c r="F47" s="48"/>
    </row>
    <row r="48" spans="2:11" x14ac:dyDescent="0.25">
      <c r="F48" s="48"/>
    </row>
    <row r="49" spans="2:15" x14ac:dyDescent="0.25">
      <c r="F49" s="48"/>
    </row>
    <row r="53" spans="2:15" ht="24" x14ac:dyDescent="0.4">
      <c r="B53" s="53" t="s">
        <v>102</v>
      </c>
      <c r="F53" s="17"/>
    </row>
    <row r="54" spans="2:15" x14ac:dyDescent="0.25">
      <c r="B54" s="16" t="s">
        <v>106</v>
      </c>
      <c r="C54" s="17"/>
      <c r="D54" s="17"/>
      <c r="E54" s="17"/>
      <c r="F54" s="17"/>
      <c r="G54" s="17"/>
    </row>
    <row r="55" spans="2:15" x14ac:dyDescent="0.25">
      <c r="B55" s="16" t="s">
        <v>103</v>
      </c>
    </row>
    <row r="56" spans="2:15" ht="38.450000000000003" customHeight="1" x14ac:dyDescent="0.35">
      <c r="B56" s="52" t="s">
        <v>91</v>
      </c>
    </row>
    <row r="57" spans="2:15" ht="21.6" customHeight="1" x14ac:dyDescent="0.3">
      <c r="B57" s="18" t="s">
        <v>93</v>
      </c>
      <c r="C57" s="17"/>
      <c r="D57" s="17"/>
    </row>
    <row r="58" spans="2:15" x14ac:dyDescent="0.25">
      <c r="B58" s="16" t="s">
        <v>104</v>
      </c>
    </row>
    <row r="59" spans="2:15" ht="57" customHeight="1" x14ac:dyDescent="0.25">
      <c r="B59" s="17"/>
      <c r="C59" s="136" t="s">
        <v>105</v>
      </c>
      <c r="D59" s="136"/>
      <c r="E59" s="136"/>
      <c r="F59" s="136"/>
      <c r="G59" s="136"/>
      <c r="H59" s="136"/>
      <c r="I59" s="136"/>
      <c r="J59" s="136"/>
      <c r="K59" s="136"/>
      <c r="L59" s="56"/>
      <c r="M59" s="56"/>
      <c r="N59" s="56"/>
      <c r="O59" s="56"/>
    </row>
    <row r="60" spans="2:15" x14ac:dyDescent="0.25">
      <c r="B60" s="17"/>
      <c r="D60" s="17"/>
      <c r="E60" s="17"/>
    </row>
    <row r="61" spans="2:15" ht="18.75" x14ac:dyDescent="0.3">
      <c r="B61" s="18" t="s">
        <v>27</v>
      </c>
      <c r="C61" s="17"/>
      <c r="D61" s="17"/>
      <c r="E61" s="17"/>
    </row>
    <row r="62" spans="2:15" x14ac:dyDescent="0.25">
      <c r="B62" s="16" t="s">
        <v>107</v>
      </c>
      <c r="C62" s="17"/>
      <c r="D62" s="17"/>
      <c r="E62" s="17"/>
    </row>
    <row r="64" spans="2:15" ht="18.75" x14ac:dyDescent="0.3">
      <c r="B64" s="18" t="s">
        <v>97</v>
      </c>
    </row>
    <row r="65" spans="1:8" x14ac:dyDescent="0.25">
      <c r="B65" s="16" t="s">
        <v>108</v>
      </c>
    </row>
    <row r="67" spans="1:8" ht="21" x14ac:dyDescent="0.35">
      <c r="B67" s="52" t="s">
        <v>87</v>
      </c>
    </row>
    <row r="68" spans="1:8" ht="18.75" x14ac:dyDescent="0.3">
      <c r="B68" s="18" t="s">
        <v>31</v>
      </c>
    </row>
    <row r="69" spans="1:8" x14ac:dyDescent="0.25">
      <c r="B69" s="16" t="s">
        <v>109</v>
      </c>
    </row>
    <row r="70" spans="1:8" ht="58.15" customHeight="1" x14ac:dyDescent="0.25">
      <c r="C70" s="137" t="s">
        <v>110</v>
      </c>
      <c r="D70" s="137"/>
      <c r="E70" s="137"/>
      <c r="F70" s="137"/>
      <c r="G70" s="137"/>
      <c r="H70" s="137"/>
    </row>
    <row r="72" spans="1:8" ht="18" customHeight="1" x14ac:dyDescent="0.35">
      <c r="A72" s="52"/>
      <c r="B72" s="18" t="s">
        <v>50</v>
      </c>
    </row>
    <row r="73" spans="1:8" x14ac:dyDescent="0.25">
      <c r="B73" s="16" t="s">
        <v>111</v>
      </c>
    </row>
    <row r="74" spans="1:8" x14ac:dyDescent="0.25">
      <c r="B74" s="16" t="s">
        <v>51</v>
      </c>
    </row>
    <row r="76" spans="1:8" ht="18.75" x14ac:dyDescent="0.3">
      <c r="B76" s="18" t="s">
        <v>84</v>
      </c>
    </row>
    <row r="77" spans="1:8" x14ac:dyDescent="0.25">
      <c r="B77" s="16" t="s">
        <v>112</v>
      </c>
    </row>
    <row r="78" spans="1:8" x14ac:dyDescent="0.25">
      <c r="B78" s="16" t="s">
        <v>113</v>
      </c>
    </row>
    <row r="79" spans="1:8" x14ac:dyDescent="0.25">
      <c r="B79" s="16" t="s">
        <v>114</v>
      </c>
    </row>
    <row r="84" spans="2:2" ht="26.45" customHeight="1" x14ac:dyDescent="0.25"/>
    <row r="85" spans="2:2" ht="18.75" x14ac:dyDescent="0.3">
      <c r="B85" s="18" t="s">
        <v>53</v>
      </c>
    </row>
    <row r="86" spans="2:2" x14ac:dyDescent="0.25">
      <c r="B86" s="16" t="s">
        <v>115</v>
      </c>
    </row>
    <row r="87" spans="2:2" x14ac:dyDescent="0.25">
      <c r="B87" s="16" t="s">
        <v>55</v>
      </c>
    </row>
    <row r="88" spans="2:2" x14ac:dyDescent="0.25">
      <c r="B88" s="16" t="s">
        <v>54</v>
      </c>
    </row>
    <row r="96" spans="2:2" ht="18.75" x14ac:dyDescent="0.3">
      <c r="B96" s="18" t="s">
        <v>52</v>
      </c>
    </row>
    <row r="97" spans="2:7" ht="14.45" customHeight="1" x14ac:dyDescent="0.25">
      <c r="B97" s="16" t="s">
        <v>60</v>
      </c>
    </row>
    <row r="98" spans="2:7" x14ac:dyDescent="0.25">
      <c r="B98" s="16" t="s">
        <v>116</v>
      </c>
    </row>
    <row r="99" spans="2:7" x14ac:dyDescent="0.25">
      <c r="B99" s="16" t="s">
        <v>59</v>
      </c>
    </row>
    <row r="101" spans="2:7" ht="18.75" x14ac:dyDescent="0.3">
      <c r="B101" s="18" t="s">
        <v>118</v>
      </c>
    </row>
    <row r="102" spans="2:7" x14ac:dyDescent="0.25">
      <c r="B102" s="16" t="s">
        <v>123</v>
      </c>
    </row>
    <row r="103" spans="2:7" x14ac:dyDescent="0.25">
      <c r="B103" s="16" t="s">
        <v>124</v>
      </c>
    </row>
    <row r="104" spans="2:7" x14ac:dyDescent="0.25">
      <c r="B104" s="16" t="s">
        <v>125</v>
      </c>
    </row>
    <row r="105" spans="2:7" x14ac:dyDescent="0.25">
      <c r="B105" s="16" t="s">
        <v>119</v>
      </c>
    </row>
    <row r="106" spans="2:7" ht="326.45" customHeight="1" x14ac:dyDescent="0.25"/>
    <row r="107" spans="2:7" x14ac:dyDescent="0.25">
      <c r="B107" s="16" t="s">
        <v>122</v>
      </c>
    </row>
    <row r="108" spans="2:7" ht="265.14999999999998" customHeight="1" x14ac:dyDescent="0.25"/>
    <row r="110" spans="2:7" ht="18.75" x14ac:dyDescent="0.3">
      <c r="B110" s="54" t="s">
        <v>117</v>
      </c>
    </row>
    <row r="111" spans="2:7" x14ac:dyDescent="0.25">
      <c r="B111" s="57" t="s">
        <v>61</v>
      </c>
      <c r="F111" s="17"/>
      <c r="G111" s="17"/>
    </row>
    <row r="112" spans="2:7" x14ac:dyDescent="0.25">
      <c r="B112" s="16" t="s">
        <v>62</v>
      </c>
      <c r="F112" s="16" t="s">
        <v>63</v>
      </c>
    </row>
    <row r="116" spans="2:6" ht="231" customHeight="1" x14ac:dyDescent="0.25"/>
    <row r="118" spans="2:6" x14ac:dyDescent="0.25">
      <c r="B118" s="57" t="s">
        <v>64</v>
      </c>
      <c r="F118" s="17"/>
    </row>
    <row r="119" spans="2:6" x14ac:dyDescent="0.25">
      <c r="B119" s="16" t="s">
        <v>62</v>
      </c>
      <c r="F119" s="16" t="s">
        <v>63</v>
      </c>
    </row>
  </sheetData>
  <mergeCells count="3">
    <mergeCell ref="C26:H26"/>
    <mergeCell ref="C59:K59"/>
    <mergeCell ref="C70:H7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1617C-7149-4686-9003-7E53D59581D3}">
  <sheetPr codeName="Sheet13">
    <tabColor theme="9" tint="-0.249977111117893"/>
  </sheetPr>
  <dimension ref="B6"/>
  <sheetViews>
    <sheetView zoomScaleNormal="100" workbookViewId="0">
      <selection activeCell="B27" sqref="B27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78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1C46-2280-4B1B-9B9B-F8C359F102A2}">
  <sheetPr codeName="ModelConfigurator">
    <tabColor theme="9" tint="0.39997558519241921"/>
  </sheetPr>
  <dimension ref="A1:AH45"/>
  <sheetViews>
    <sheetView zoomScaleNormal="100" zoomScaleSheetLayoutView="145" workbookViewId="0">
      <pane ySplit="8" topLeftCell="A9" activePane="bottomLeft" state="frozen"/>
      <selection activeCell="B27" sqref="B27"/>
      <selection pane="bottomLeft" activeCell="G11" sqref="G11"/>
    </sheetView>
  </sheetViews>
  <sheetFormatPr defaultRowHeight="15" x14ac:dyDescent="0.25"/>
  <cols>
    <col min="1" max="1" width="28.42578125" customWidth="1"/>
    <col min="2" max="2" width="13.140625" style="3" customWidth="1"/>
    <col min="3" max="3" width="24.85546875" style="3" bestFit="1" customWidth="1"/>
    <col min="4" max="4" width="7.28515625" style="3" customWidth="1"/>
    <col min="5" max="5" width="13.7109375" style="4" customWidth="1"/>
    <col min="6" max="6" width="15.85546875" style="4" customWidth="1"/>
    <col min="7" max="7" width="9.42578125" style="4" customWidth="1"/>
    <col min="8" max="8" width="14.140625" style="4" bestFit="1" customWidth="1"/>
    <col min="9" max="9" width="14" style="4" bestFit="1" customWidth="1"/>
    <col min="10" max="10" width="12.7109375" style="4" bestFit="1" customWidth="1"/>
    <col min="11" max="11" width="17.85546875" style="4" bestFit="1" customWidth="1"/>
    <col min="12" max="12" width="12.5703125" style="4" customWidth="1"/>
    <col min="13" max="13" width="9.7109375" style="4" bestFit="1" customWidth="1"/>
    <col min="14" max="14" width="10.28515625" style="4" customWidth="1"/>
    <col min="15" max="15" width="9.28515625" style="4" bestFit="1" customWidth="1"/>
    <col min="16" max="16" width="7.5703125" style="4" bestFit="1" customWidth="1"/>
  </cols>
  <sheetData>
    <row r="1" spans="1:34" s="20" customFormat="1" ht="18" x14ac:dyDescent="0.25">
      <c r="A1" s="37" t="s">
        <v>75</v>
      </c>
      <c r="J1" s="64"/>
      <c r="K1" s="64"/>
      <c r="L1" s="64"/>
      <c r="M1" s="64"/>
      <c r="N1" s="21"/>
    </row>
    <row r="2" spans="1:34" s="23" customFormat="1" ht="11.25" x14ac:dyDescent="0.2">
      <c r="A2" s="22" t="s">
        <v>76</v>
      </c>
      <c r="D2" s="25"/>
      <c r="E2" s="26"/>
      <c r="F2" s="26"/>
      <c r="J2" s="65"/>
      <c r="K2" s="65"/>
      <c r="L2" s="65"/>
      <c r="M2" s="65"/>
      <c r="N2" s="27"/>
      <c r="S2" s="28"/>
    </row>
    <row r="3" spans="1:34" s="23" customFormat="1" ht="11.25" x14ac:dyDescent="0.2">
      <c r="A3" s="22"/>
      <c r="C3" s="24"/>
      <c r="D3" s="25"/>
      <c r="E3" s="26"/>
      <c r="F3" s="26"/>
      <c r="J3" s="65"/>
      <c r="K3" s="65"/>
      <c r="L3" s="65"/>
      <c r="M3" s="65"/>
      <c r="N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66"/>
      <c r="K4" s="66"/>
      <c r="L4" s="66"/>
      <c r="M4" s="66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E5" s="29"/>
      <c r="F5" s="29"/>
      <c r="G5" s="24"/>
      <c r="H5" s="30"/>
      <c r="I5" s="31"/>
      <c r="J5" s="67"/>
      <c r="K5" s="67"/>
      <c r="L5" s="67"/>
      <c r="M5" s="67"/>
      <c r="O5" s="31"/>
    </row>
    <row r="6" spans="1:34" s="34" customFormat="1" x14ac:dyDescent="0.25">
      <c r="A6" s="32"/>
      <c r="B6" s="33" t="s">
        <v>85</v>
      </c>
      <c r="C6" s="33"/>
      <c r="D6" s="33"/>
      <c r="E6" s="33"/>
      <c r="F6" s="33"/>
      <c r="G6" s="33"/>
      <c r="H6" s="33"/>
      <c r="I6" s="33"/>
      <c r="J6" s="68"/>
      <c r="K6" s="68"/>
      <c r="L6" s="68"/>
      <c r="M6" s="68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7" spans="1:34" x14ac:dyDescent="0.25">
      <c r="B7"/>
      <c r="C7"/>
      <c r="D7"/>
      <c r="E7" s="38"/>
      <c r="F7" s="38"/>
      <c r="G7" s="38"/>
      <c r="H7" s="38"/>
      <c r="I7" s="38"/>
      <c r="J7" s="38"/>
      <c r="K7" s="38"/>
      <c r="L7" s="38"/>
      <c r="M7" s="38"/>
      <c r="N7"/>
      <c r="O7" s="38"/>
      <c r="P7" s="38"/>
    </row>
    <row r="8" spans="1:34" ht="28.9" customHeight="1" x14ac:dyDescent="0.25">
      <c r="A8" s="72" t="s">
        <v>24</v>
      </c>
      <c r="B8" s="41" t="s">
        <v>93</v>
      </c>
      <c r="C8" s="39" t="s">
        <v>27</v>
      </c>
      <c r="D8" s="41" t="s">
        <v>97</v>
      </c>
      <c r="E8" s="40" t="s">
        <v>138</v>
      </c>
      <c r="F8" s="40" t="s">
        <v>139</v>
      </c>
      <c r="G8" s="40" t="s">
        <v>84</v>
      </c>
      <c r="H8" s="40" t="s">
        <v>26</v>
      </c>
      <c r="I8" s="42" t="s">
        <v>148</v>
      </c>
      <c r="J8" s="58" t="s">
        <v>136</v>
      </c>
      <c r="K8" s="58" t="s">
        <v>142</v>
      </c>
      <c r="L8" s="58" t="s">
        <v>209</v>
      </c>
      <c r="M8" s="58" t="s">
        <v>156</v>
      </c>
      <c r="N8" s="58" t="s">
        <v>118</v>
      </c>
      <c r="O8" s="42" t="s">
        <v>58</v>
      </c>
      <c r="P8" s="58" t="s">
        <v>30</v>
      </c>
    </row>
    <row r="9" spans="1:34" x14ac:dyDescent="0.25">
      <c r="A9" t="s">
        <v>49</v>
      </c>
      <c r="B9" s="3" t="s">
        <v>20</v>
      </c>
      <c r="C9" s="3" t="s">
        <v>45</v>
      </c>
      <c r="D9" s="3" t="s">
        <v>69</v>
      </c>
    </row>
    <row r="10" spans="1:34" x14ac:dyDescent="0.25">
      <c r="A10" t="s">
        <v>178</v>
      </c>
      <c r="B10" s="3" t="s">
        <v>86</v>
      </c>
      <c r="C10" s="3" t="s">
        <v>179</v>
      </c>
      <c r="D10" s="3" t="s">
        <v>225</v>
      </c>
      <c r="M10" s="4" t="s">
        <v>159</v>
      </c>
    </row>
    <row r="11" spans="1:34" x14ac:dyDescent="0.25">
      <c r="A11" t="s">
        <v>143</v>
      </c>
      <c r="B11" s="3" t="s">
        <v>20</v>
      </c>
      <c r="C11" s="3" t="s">
        <v>161</v>
      </c>
      <c r="D11" s="3" t="s">
        <v>181</v>
      </c>
    </row>
    <row r="12" spans="1:34" x14ac:dyDescent="0.25">
      <c r="A12" t="s">
        <v>234</v>
      </c>
      <c r="B12" s="3" t="s">
        <v>86</v>
      </c>
      <c r="C12" s="3" t="s">
        <v>234</v>
      </c>
      <c r="D12" s="3" t="s">
        <v>151</v>
      </c>
      <c r="M12" s="4" t="s">
        <v>159</v>
      </c>
    </row>
    <row r="13" spans="1:34" x14ac:dyDescent="0.25">
      <c r="A13" s="44" t="s">
        <v>143</v>
      </c>
      <c r="B13" s="3" t="s">
        <v>21</v>
      </c>
      <c r="C13" s="3" t="s">
        <v>161</v>
      </c>
      <c r="D13" s="3" t="s">
        <v>181</v>
      </c>
      <c r="I13" s="4" t="s">
        <v>28</v>
      </c>
    </row>
    <row r="14" spans="1:34" x14ac:dyDescent="0.25">
      <c r="A14" t="s">
        <v>152</v>
      </c>
      <c r="B14" s="3" t="s">
        <v>29</v>
      </c>
      <c r="C14" s="3" t="s">
        <v>161</v>
      </c>
      <c r="D14" s="3" t="s">
        <v>216</v>
      </c>
    </row>
    <row r="15" spans="1:34" x14ac:dyDescent="0.25">
      <c r="A15" t="s">
        <v>145</v>
      </c>
      <c r="B15" s="3" t="s">
        <v>20</v>
      </c>
      <c r="C15" s="3" t="s">
        <v>161</v>
      </c>
      <c r="D15" s="3" t="s">
        <v>211</v>
      </c>
    </row>
    <row r="16" spans="1:34" x14ac:dyDescent="0.25">
      <c r="A16" t="s">
        <v>210</v>
      </c>
      <c r="B16" s="3" t="s">
        <v>20</v>
      </c>
      <c r="C16" s="3" t="s">
        <v>161</v>
      </c>
      <c r="D16" s="3" t="s">
        <v>232</v>
      </c>
      <c r="F16" s="4">
        <v>1</v>
      </c>
      <c r="L16" s="4" t="s">
        <v>28</v>
      </c>
    </row>
    <row r="17" spans="1:13" x14ac:dyDescent="0.25">
      <c r="A17" t="s">
        <v>213</v>
      </c>
      <c r="B17" s="3" t="s">
        <v>20</v>
      </c>
      <c r="C17" s="3" t="s">
        <v>161</v>
      </c>
      <c r="D17" s="3" t="s">
        <v>226</v>
      </c>
      <c r="F17" s="4">
        <v>2</v>
      </c>
    </row>
    <row r="18" spans="1:13" x14ac:dyDescent="0.25">
      <c r="A18" s="44" t="s">
        <v>149</v>
      </c>
      <c r="B18" s="3" t="s">
        <v>86</v>
      </c>
      <c r="C18" s="3" t="s">
        <v>149</v>
      </c>
      <c r="D18" s="3" t="s">
        <v>69</v>
      </c>
      <c r="E18" s="4">
        <v>2</v>
      </c>
      <c r="M18" s="4" t="s">
        <v>159</v>
      </c>
    </row>
    <row r="19" spans="1:13" x14ac:dyDescent="0.25">
      <c r="A19" t="s">
        <v>143</v>
      </c>
      <c r="B19" s="3" t="s">
        <v>20</v>
      </c>
      <c r="C19" s="3" t="s">
        <v>161</v>
      </c>
      <c r="D19" s="3" t="s">
        <v>181</v>
      </c>
    </row>
    <row r="20" spans="1:13" x14ac:dyDescent="0.25">
      <c r="A20" t="s">
        <v>242</v>
      </c>
      <c r="B20" s="3" t="s">
        <v>86</v>
      </c>
      <c r="C20" s="3" t="s">
        <v>242</v>
      </c>
      <c r="D20" s="3" t="s">
        <v>225</v>
      </c>
      <c r="M20" s="4" t="s">
        <v>159</v>
      </c>
    </row>
    <row r="21" spans="1:13" x14ac:dyDescent="0.25">
      <c r="A21" t="s">
        <v>133</v>
      </c>
      <c r="B21" s="3" t="s">
        <v>133</v>
      </c>
      <c r="C21" s="3" t="s">
        <v>128</v>
      </c>
      <c r="D21" s="3" t="s">
        <v>69</v>
      </c>
      <c r="F21" s="4">
        <v>1</v>
      </c>
    </row>
    <row r="22" spans="1:13" x14ac:dyDescent="0.25">
      <c r="A22" s="44" t="s">
        <v>22</v>
      </c>
      <c r="B22" s="3" t="s">
        <v>21</v>
      </c>
      <c r="C22" s="3" t="s">
        <v>22</v>
      </c>
      <c r="D22" s="3" t="s">
        <v>69</v>
      </c>
      <c r="F22" s="4">
        <v>1</v>
      </c>
    </row>
    <row r="23" spans="1:13" x14ac:dyDescent="0.25">
      <c r="A23" t="s">
        <v>23</v>
      </c>
      <c r="B23" s="3" t="s">
        <v>29</v>
      </c>
      <c r="C23" s="3" t="s">
        <v>179</v>
      </c>
      <c r="D23" s="3" t="s">
        <v>69</v>
      </c>
      <c r="E23" s="4">
        <v>1</v>
      </c>
      <c r="G23" s="4">
        <v>3</v>
      </c>
    </row>
    <row r="24" spans="1:13" x14ac:dyDescent="0.25">
      <c r="A24" t="s">
        <v>49</v>
      </c>
      <c r="B24" s="3" t="s">
        <v>20</v>
      </c>
      <c r="C24" s="3" t="s">
        <v>45</v>
      </c>
      <c r="D24" s="3" t="s">
        <v>69</v>
      </c>
    </row>
    <row r="25" spans="1:13" x14ac:dyDescent="0.25">
      <c r="A25" t="s">
        <v>210</v>
      </c>
      <c r="B25" s="3" t="s">
        <v>20</v>
      </c>
      <c r="C25" s="3" t="s">
        <v>179</v>
      </c>
      <c r="D25" s="3" t="s">
        <v>211</v>
      </c>
      <c r="F25" s="4">
        <v>2</v>
      </c>
      <c r="G25" s="4">
        <v>9</v>
      </c>
      <c r="H25" s="4">
        <v>17</v>
      </c>
      <c r="L25" s="4" t="s">
        <v>28</v>
      </c>
    </row>
    <row r="26" spans="1:13" x14ac:dyDescent="0.25">
      <c r="A26" s="44" t="s">
        <v>180</v>
      </c>
      <c r="B26" s="3" t="s">
        <v>20</v>
      </c>
      <c r="C26" s="3" t="s">
        <v>179</v>
      </c>
      <c r="D26" s="3" t="s">
        <v>191</v>
      </c>
      <c r="F26" s="4">
        <v>11</v>
      </c>
      <c r="G26" s="4">
        <v>4</v>
      </c>
      <c r="H26" s="4">
        <v>17</v>
      </c>
    </row>
    <row r="27" spans="1:13" x14ac:dyDescent="0.25">
      <c r="A27" t="s">
        <v>189</v>
      </c>
      <c r="B27" s="3" t="s">
        <v>29</v>
      </c>
      <c r="C27" s="3" t="s">
        <v>179</v>
      </c>
      <c r="D27" s="3" t="s">
        <v>190</v>
      </c>
      <c r="G27" s="4">
        <v>2</v>
      </c>
    </row>
    <row r="28" spans="1:13" x14ac:dyDescent="0.25">
      <c r="A28" t="s">
        <v>4</v>
      </c>
      <c r="B28" s="3" t="s">
        <v>86</v>
      </c>
      <c r="C28" s="3" t="s">
        <v>4</v>
      </c>
      <c r="D28" s="3" t="s">
        <v>69</v>
      </c>
      <c r="E28" s="4">
        <v>3</v>
      </c>
      <c r="F28" s="4">
        <v>2</v>
      </c>
      <c r="K28" s="4" t="s">
        <v>28</v>
      </c>
      <c r="M28" s="4" t="s">
        <v>159</v>
      </c>
    </row>
    <row r="29" spans="1:13" x14ac:dyDescent="0.25">
      <c r="A29" t="s">
        <v>133</v>
      </c>
      <c r="B29" s="3" t="s">
        <v>133</v>
      </c>
      <c r="C29" s="3" t="s">
        <v>128</v>
      </c>
      <c r="D29" s="3" t="s">
        <v>69</v>
      </c>
      <c r="F29" s="4">
        <v>1</v>
      </c>
      <c r="H29" s="4">
        <v>1</v>
      </c>
    </row>
    <row r="30" spans="1:13" x14ac:dyDescent="0.25">
      <c r="A30" s="44" t="s">
        <v>22</v>
      </c>
      <c r="B30" s="3" t="s">
        <v>21</v>
      </c>
      <c r="C30" s="3" t="s">
        <v>22</v>
      </c>
      <c r="D30" s="3" t="s">
        <v>69</v>
      </c>
      <c r="E30" s="4">
        <v>3</v>
      </c>
      <c r="F30" s="4">
        <v>1</v>
      </c>
      <c r="H30" s="4">
        <v>1</v>
      </c>
    </row>
    <row r="31" spans="1:13" x14ac:dyDescent="0.25">
      <c r="A31" t="s">
        <v>143</v>
      </c>
      <c r="B31" s="3" t="s">
        <v>20</v>
      </c>
      <c r="C31" s="3" t="s">
        <v>161</v>
      </c>
      <c r="D31" s="3" t="s">
        <v>181</v>
      </c>
    </row>
    <row r="32" spans="1:13" x14ac:dyDescent="0.25">
      <c r="A32" t="s">
        <v>186</v>
      </c>
      <c r="B32" s="3" t="s">
        <v>86</v>
      </c>
      <c r="C32" s="3" t="s">
        <v>186</v>
      </c>
      <c r="D32" s="3" t="s">
        <v>69</v>
      </c>
      <c r="M32" s="4" t="s">
        <v>159</v>
      </c>
    </row>
    <row r="33" spans="1:13" x14ac:dyDescent="0.25">
      <c r="A33" t="s">
        <v>133</v>
      </c>
      <c r="B33" s="3" t="s">
        <v>133</v>
      </c>
      <c r="C33" s="3" t="s">
        <v>128</v>
      </c>
      <c r="D33" s="3" t="s">
        <v>69</v>
      </c>
      <c r="F33" s="4">
        <v>1</v>
      </c>
    </row>
    <row r="34" spans="1:13" x14ac:dyDescent="0.25">
      <c r="A34" s="44" t="s">
        <v>22</v>
      </c>
      <c r="B34" s="3" t="s">
        <v>21</v>
      </c>
      <c r="C34" s="3" t="s">
        <v>22</v>
      </c>
      <c r="D34" s="3" t="s">
        <v>69</v>
      </c>
      <c r="F34" s="4">
        <v>1</v>
      </c>
    </row>
    <row r="35" spans="1:13" x14ac:dyDescent="0.25">
      <c r="A35" s="44" t="s">
        <v>183</v>
      </c>
      <c r="B35" s="3" t="s">
        <v>29</v>
      </c>
      <c r="C35" s="3" t="s">
        <v>186</v>
      </c>
      <c r="D35" s="3" t="s">
        <v>225</v>
      </c>
      <c r="E35" s="4">
        <v>1</v>
      </c>
      <c r="G35" s="4">
        <v>2</v>
      </c>
    </row>
    <row r="36" spans="1:13" x14ac:dyDescent="0.25">
      <c r="A36" t="s">
        <v>143</v>
      </c>
      <c r="B36" s="3" t="s">
        <v>20</v>
      </c>
      <c r="C36" s="3" t="s">
        <v>161</v>
      </c>
      <c r="D36" s="3" t="s">
        <v>181</v>
      </c>
    </row>
    <row r="37" spans="1:13" x14ac:dyDescent="0.25">
      <c r="A37" t="s">
        <v>180</v>
      </c>
      <c r="B37" s="3" t="s">
        <v>20</v>
      </c>
      <c r="C37" s="3" t="s">
        <v>186</v>
      </c>
      <c r="D37" s="3" t="s">
        <v>192</v>
      </c>
      <c r="F37" s="4">
        <v>2</v>
      </c>
      <c r="G37" s="4">
        <v>11</v>
      </c>
    </row>
    <row r="38" spans="1:13" x14ac:dyDescent="0.25">
      <c r="A38" t="s">
        <v>86</v>
      </c>
      <c r="B38" s="3" t="s">
        <v>86</v>
      </c>
      <c r="C38" s="3" t="s">
        <v>56</v>
      </c>
      <c r="D38" s="3" t="s">
        <v>69</v>
      </c>
      <c r="E38" s="4">
        <v>1</v>
      </c>
      <c r="F38" s="4">
        <v>2</v>
      </c>
      <c r="M38" s="4" t="s">
        <v>158</v>
      </c>
    </row>
    <row r="41" spans="1:13" x14ac:dyDescent="0.25">
      <c r="A41" s="44"/>
    </row>
    <row r="45" spans="1:13" x14ac:dyDescent="0.25">
      <c r="A45" s="44"/>
    </row>
  </sheetData>
  <conditionalFormatting sqref="B9:D1048576">
    <cfRule type="expression" dxfId="105" priority="82">
      <formula>AND(NOT(ISBLANK($A9)),ISBLANK(B9))</formula>
    </cfRule>
  </conditionalFormatting>
  <conditionalFormatting sqref="A9:D1048576">
    <cfRule type="expression" dxfId="104" priority="84">
      <formula>AND(OR(NOT(ISBLANK($A9)),NOT(ISBLANK($B9)),NOT(ISBLANK($C9)),NOT(ISBLANK($D9))),ISBLANK(A9))</formula>
    </cfRule>
  </conditionalFormatting>
  <dataValidations xWindow="1329" yWindow="857" count="15">
    <dataValidation allowBlank="1" showInputMessage="1" showErrorMessage="1" prompt="Row = 1_x000a_Column = 2_x000a_Title = 3_x000a_Target = 0" sqref="B8" xr:uid="{6EEAAD60-1C62-44E9-B004-1FABA1BA7B98}"/>
    <dataValidation allowBlank="1" showInputMessage="1" showErrorMessage="1" promptTitle="Width" prompt="(Empty = 1)" sqref="G8" xr:uid="{91BB3057-E3C8-49FF-9CAB-6F344E43BA7C}"/>
    <dataValidation allowBlank="1" showInputMessage="1" showErrorMessage="1" promptTitle="Distance" prompt="(Empty = 0)_x000a_-Ouput: Distance between Sets of Tables for each Year_x000a_-Years: Distance from 1st column defined in Output_x000a_-Title: Distance from 1st column defined in Output_x000a_-Row: Does nothing_x000a_-Column: Distance from 1st column defined in Output" sqref="F8" xr:uid="{D8133E64-7D5D-49DA-BF54-689C440D64D6}"/>
    <dataValidation allowBlank="1" showInputMessage="1" showErrorMessage="1" promptTitle="Conditions" prompt="If there is no header or column in the table, there will be no Total" sqref="O8" xr:uid="{A53FA827-401B-4094-B1E5-E2F5A7114ADE}"/>
    <dataValidation errorStyle="warning" operator="greaterThan" allowBlank="1" showInputMessage="1" showErrorMessage="1" errorTitle="Invalid number" error="Mininum is 1. High number is advised" promptTitle="Maximum length" prompt="(Empty = 15,000)_x000a_Use high numbers to make sure all input is considered._x000a_Don't forget Width._x000a_Use lower numbers to not use all adjacent cells." sqref="H8" xr:uid="{93F47E74-500B-4A6F-936F-1ECF190DD93C}"/>
    <dataValidation type="whole" errorStyle="warning" operator="greaterThanOrEqual" allowBlank="1" showInputMessage="1" showErrorMessage="1" errorTitle="Invalid input, may cause errors" error="Has to be a whole number._x000a_Minimum value is 0." promptTitle="Distance" prompt="Click on header for more info" sqref="E42:F44 F45 E19:F21 F9 E46:F1048576 F41 F34 F13 F18 F30:F31 E37:F40 F22 E35:F35 E32:F33 F36 E23:F25 F26 E14:F17 E10:F12 E27:F29" xr:uid="{951C9B3E-0259-4BEC-AF1E-0CAA54465850}">
      <formula1>0</formula1>
    </dataValidation>
    <dataValidation allowBlank="1" showInputMessage="1" showErrorMessage="1" promptTitle="Distance" prompt="(Empty = 0)_x000a_-Output: Distance between Set of tables_x000a_-Years: Distance to the Title_x000a_-Title: Does nothing_x000a_-Row: Distance to previous Tables or Title_x000a_-Column: Does nothing" sqref="E8" xr:uid="{9ED8780B-B6C8-44CB-8A53-2E1D09C4A645}"/>
    <dataValidation type="whole" errorStyle="warning" operator="greaterThan" allowBlank="1" showInputMessage="1" showErrorMessage="1" errorTitle="Invalid input, may cause errors" error="Has to be a whole number._x000a_Minimum value is 1." promptTitle="Width" prompt="Click on header for more info" sqref="G42:G1048576 G10:G21 G23:G40" xr:uid="{AE06A907-BAD2-4387-B305-F18AF12790F9}">
      <formula1>0</formula1>
    </dataValidation>
    <dataValidation allowBlank="1" showInputMessage="1" showErrorMessage="1" promptTitle="Sheets for each year" prompt="Marking this in a 'Years' instruction will create a sheet for each year._x000a_The 'Output' sheet will be renamed to have the first year." sqref="J8" xr:uid="{D794D709-DA4B-4A68-86C1-7FAE7281028A}"/>
    <dataValidation allowBlank="1" showInputMessage="1" showErrorMessage="1" promptTitle="First Cell" prompt="(Empty=B8)" sqref="D8" xr:uid="{3FDC9414-47BC-4D4C-A2B2-C49DE63B197D}"/>
    <dataValidation type="whole" operator="greaterThan" allowBlank="1" showInputMessage="1" showErrorMessage="1" errorTitle="Invalid input" error="Has to be a whole number._x000a_Minimum value is 1." promptTitle="Maximum length" prompt="Click on header for more info" sqref="H9:H1048576" xr:uid="{B96CCD2A-4405-4268-8F52-23300641B712}">
      <formula1>0</formula1>
    </dataValidation>
    <dataValidation type="list" allowBlank="1" showInputMessage="1" showErrorMessage="1" sqref="N9:P1048576 I9:L1048576" xr:uid="{AC6F71C3-D0A7-4C2D-8A0F-0EF4D1725765}">
      <formula1>Checkbox</formula1>
    </dataValidation>
    <dataValidation type="list" allowBlank="1" showInputMessage="1" showErrorMessage="1" promptTitle="Clear Data Option" prompt="Click on header for more info" sqref="M9:M1048576" xr:uid="{179E4CA5-FF39-4D17-B57E-480F059B1DC9}">
      <formula1>ClearDataOptions</formula1>
    </dataValidation>
    <dataValidation type="list" errorStyle="warning" allowBlank="1" showInputMessage="1" showErrorMessage="1" errorTitle="Sheet Not Defined" error="Sheet Not Defined._x000a_Try calling 'updateSheetList' macro._x000a__x000a_If it persists check 'SheetList' in Names_x000a_Or the hidden sheet 'Model Configurator Sup'" sqref="C9:C1048576" xr:uid="{F1663422-3270-49A3-B912-5FCF21853B74}">
      <formula1>SheetList</formula1>
    </dataValidation>
    <dataValidation type="list" errorStyle="information" allowBlank="1" showInputMessage="1" showErrorMessage="1" errorTitle="Invalid Data" error="This Row will not be used in table creation" promptTitle="Type of Input" prompt="Click on header for more info" sqref="B9:B1048576" xr:uid="{DA130624-D060-47D9-8589-09C5F65999B2}">
      <formula1>InstrTypes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5" id="{E57069E5-1090-448D-A715-93E28E8D9EB2}">
            <xm:f>AND(COUNTBLANK($A9:$D9)=0,OR(ISNUMBER(SEARCH($B9,'Model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A9:P1048574</xm:sqref>
        </x14:conditionalFormatting>
        <x14:conditionalFormatting xmlns:xm="http://schemas.microsoft.com/office/excel/2006/main">
          <x14:cfRule type="expression" priority="286" id="{E57069E5-1090-448D-A715-93E28E8D9EB2}">
            <xm:f>AND(COUNTBLANK($A1048575:$D1048576)=0,OR(ISNUMBER(SEARCH($B1048575,'Model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A1048575:P1048576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B3689-7932-4F27-B7AA-7216B72ED952}">
  <sheetPr codeName="ModelConfiguratorSup">
    <tabColor theme="9" tint="0.39997558519241921"/>
  </sheetPr>
  <dimension ref="A2:M20"/>
  <sheetViews>
    <sheetView workbookViewId="0">
      <selection activeCell="M3" sqref="M3"/>
    </sheetView>
  </sheetViews>
  <sheetFormatPr defaultRowHeight="15" x14ac:dyDescent="0.25"/>
  <cols>
    <col min="3" max="3" width="10.28515625" customWidth="1"/>
    <col min="4" max="4" width="10.85546875" customWidth="1"/>
    <col min="6" max="6" width="9.7109375" customWidth="1"/>
    <col min="7" max="7" width="21.7109375" customWidth="1"/>
    <col min="8" max="8" width="8.5703125" customWidth="1"/>
    <col min="9" max="9" width="26.28515625" bestFit="1" customWidth="1"/>
    <col min="11" max="11" width="18.42578125" customWidth="1"/>
    <col min="13" max="13" width="14" bestFit="1" customWidth="1"/>
  </cols>
  <sheetData>
    <row r="2" spans="1:13" x14ac:dyDescent="0.25">
      <c r="C2" t="s">
        <v>155</v>
      </c>
      <c r="E2" t="s">
        <v>150</v>
      </c>
      <c r="G2" t="s">
        <v>135</v>
      </c>
      <c r="I2" s="63" t="s">
        <v>137</v>
      </c>
      <c r="K2" t="s">
        <v>157</v>
      </c>
      <c r="M2" t="s">
        <v>207</v>
      </c>
    </row>
    <row r="3" spans="1:13" x14ac:dyDescent="0.25">
      <c r="C3" s="73" t="s">
        <v>133</v>
      </c>
      <c r="G3" t="s">
        <v>166</v>
      </c>
      <c r="I3" s="38">
        <v>5</v>
      </c>
      <c r="M3" t="s">
        <v>205</v>
      </c>
    </row>
    <row r="4" spans="1:13" x14ac:dyDescent="0.25">
      <c r="C4" t="s">
        <v>21</v>
      </c>
      <c r="E4" t="s">
        <v>28</v>
      </c>
      <c r="G4" t="s">
        <v>128</v>
      </c>
      <c r="K4" t="s">
        <v>160</v>
      </c>
      <c r="M4" t="s">
        <v>206</v>
      </c>
    </row>
    <row r="5" spans="1:13" x14ac:dyDescent="0.25">
      <c r="C5" t="s">
        <v>29</v>
      </c>
      <c r="G5" t="s">
        <v>22</v>
      </c>
      <c r="H5" s="19"/>
      <c r="K5" t="s">
        <v>158</v>
      </c>
    </row>
    <row r="6" spans="1:13" x14ac:dyDescent="0.25">
      <c r="C6" t="s">
        <v>20</v>
      </c>
      <c r="G6" t="s">
        <v>45</v>
      </c>
      <c r="K6" t="s">
        <v>159</v>
      </c>
    </row>
    <row r="7" spans="1:13" x14ac:dyDescent="0.25">
      <c r="C7" t="s">
        <v>86</v>
      </c>
      <c r="G7" t="s">
        <v>47</v>
      </c>
    </row>
    <row r="8" spans="1:13" x14ac:dyDescent="0.25">
      <c r="G8" t="s">
        <v>161</v>
      </c>
    </row>
    <row r="9" spans="1:13" x14ac:dyDescent="0.25">
      <c r="G9" t="s">
        <v>167</v>
      </c>
    </row>
    <row r="10" spans="1:13" x14ac:dyDescent="0.25">
      <c r="G10" t="s">
        <v>149</v>
      </c>
    </row>
    <row r="11" spans="1:13" x14ac:dyDescent="0.25">
      <c r="G11" t="s">
        <v>179</v>
      </c>
    </row>
    <row r="12" spans="1:13" x14ac:dyDescent="0.25">
      <c r="G12" t="s">
        <v>242</v>
      </c>
    </row>
    <row r="13" spans="1:13" x14ac:dyDescent="0.25">
      <c r="G13" t="s">
        <v>234</v>
      </c>
    </row>
    <row r="14" spans="1:13" x14ac:dyDescent="0.25">
      <c r="G14" t="s">
        <v>221</v>
      </c>
    </row>
    <row r="15" spans="1:13" x14ac:dyDescent="0.25">
      <c r="A15" t="s">
        <v>21</v>
      </c>
      <c r="G15" t="s">
        <v>4</v>
      </c>
    </row>
    <row r="16" spans="1:13" x14ac:dyDescent="0.25">
      <c r="A16" t="s">
        <v>29</v>
      </c>
      <c r="G16" t="s">
        <v>222</v>
      </c>
    </row>
    <row r="17" spans="1:7" x14ac:dyDescent="0.25">
      <c r="A17" t="s">
        <v>20</v>
      </c>
      <c r="G17" t="s">
        <v>186</v>
      </c>
    </row>
    <row r="18" spans="1:7" x14ac:dyDescent="0.25">
      <c r="A18" t="s">
        <v>133</v>
      </c>
      <c r="G18" t="s">
        <v>168</v>
      </c>
    </row>
    <row r="19" spans="1:7" x14ac:dyDescent="0.25">
      <c r="G19" t="s">
        <v>56</v>
      </c>
    </row>
    <row r="20" spans="1:7" x14ac:dyDescent="0.25">
      <c r="G20" t="s">
        <v>134</v>
      </c>
    </row>
  </sheetData>
  <phoneticPr fontId="29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07D9-3156-429B-A76D-09BF3095E139}">
  <sheetPr codeName="Sheet15">
    <tabColor theme="5" tint="-0.249977111117893"/>
  </sheetPr>
  <dimension ref="B6"/>
  <sheetViews>
    <sheetView zoomScaleNormal="100" workbookViewId="0">
      <selection activeCell="L15" sqref="L15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08C0A-B325-45B6-9A11-444C844FED27}">
  <sheetPr codeName="Sheet8">
    <tabColor theme="5" tint="0.39997558519241921"/>
  </sheetPr>
  <dimension ref="A1:AF10"/>
  <sheetViews>
    <sheetView zoomScale="130" zoomScaleNormal="130" workbookViewId="0">
      <selection activeCell="B11" sqref="B11"/>
    </sheetView>
  </sheetViews>
  <sheetFormatPr defaultRowHeight="15" x14ac:dyDescent="0.25"/>
  <sheetData>
    <row r="1" spans="1:32" s="20" customFormat="1" ht="18" x14ac:dyDescent="0.25">
      <c r="A1" s="37" t="s">
        <v>127</v>
      </c>
      <c r="J1" s="21"/>
    </row>
    <row r="2" spans="1:32" s="23" customFormat="1" ht="11.25" x14ac:dyDescent="0.2">
      <c r="A2" s="22" t="s">
        <v>128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129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x14ac:dyDescent="0.25">
      <c r="B8">
        <v>2023</v>
      </c>
    </row>
    <row r="9" spans="1:32" x14ac:dyDescent="0.25">
      <c r="B9">
        <v>2025</v>
      </c>
    </row>
    <row r="10" spans="1:32" x14ac:dyDescent="0.25">
      <c r="B10">
        <v>2030</v>
      </c>
    </row>
  </sheetData>
  <conditionalFormatting sqref="C4">
    <cfRule type="containsText" dxfId="101" priority="1" operator="containsText" text="NOT OK">
      <formula>NOT(ISERROR(SEARCH("NOT OK",C4)))</formula>
    </cfRule>
    <cfRule type="containsText" dxfId="100" priority="2" operator="containsText" text="OK">
      <formula>NOT(ISERROR(SEARCH("OK",C4)))</formula>
    </cfRule>
  </conditionalFormatting>
  <conditionalFormatting sqref="F5:G5">
    <cfRule type="containsText" dxfId="99" priority="3" operator="containsText" text="NOT OK">
      <formula>NOT(ISERROR(SEARCH("NOT OK",F5)))</formula>
    </cfRule>
    <cfRule type="containsText" dxfId="98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EB40-D9B4-426B-9201-641034EC7900}">
  <sheetPr codeName="Sheet6">
    <tabColor theme="5" tint="0.39997558519241921"/>
  </sheetPr>
  <dimension ref="A1:AF20"/>
  <sheetViews>
    <sheetView zoomScale="115" zoomScaleNormal="115" workbookViewId="0">
      <selection activeCell="E9" sqref="E9"/>
    </sheetView>
  </sheetViews>
  <sheetFormatPr defaultRowHeight="15" x14ac:dyDescent="0.25"/>
  <cols>
    <col min="1" max="1" width="7.5703125" customWidth="1"/>
    <col min="2" max="2" width="15" bestFit="1" customWidth="1"/>
    <col min="3" max="3" width="5.42578125" bestFit="1" customWidth="1"/>
    <col min="6" max="6" width="47.7109375" customWidth="1"/>
  </cols>
  <sheetData>
    <row r="1" spans="1:32" s="20" customFormat="1" ht="18" x14ac:dyDescent="0.25">
      <c r="A1" s="37" t="s">
        <v>67</v>
      </c>
      <c r="J1" s="21"/>
    </row>
    <row r="2" spans="1:32" s="23" customFormat="1" ht="11.25" x14ac:dyDescent="0.2">
      <c r="A2" s="22" t="s">
        <v>22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68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19.899999999999999" customHeight="1" x14ac:dyDescent="0.25">
      <c r="B8" s="102" t="s">
        <v>10</v>
      </c>
      <c r="C8" s="47"/>
    </row>
    <row r="9" spans="1:32" ht="19.899999999999999" customHeight="1" x14ac:dyDescent="0.25">
      <c r="B9" s="102" t="s">
        <v>11</v>
      </c>
      <c r="C9" s="47"/>
    </row>
    <row r="10" spans="1:32" ht="19.899999999999999" customHeight="1" x14ac:dyDescent="0.25">
      <c r="B10" s="102" t="s">
        <v>12</v>
      </c>
      <c r="C10" s="47"/>
    </row>
    <row r="11" spans="1:32" ht="19.899999999999999" customHeight="1" x14ac:dyDescent="0.25">
      <c r="B11" s="102" t="s">
        <v>13</v>
      </c>
      <c r="C11" s="47"/>
    </row>
    <row r="12" spans="1:32" ht="19.899999999999999" customHeight="1" x14ac:dyDescent="0.25">
      <c r="B12" s="102" t="s">
        <v>14</v>
      </c>
      <c r="C12" s="47"/>
    </row>
    <row r="13" spans="1:32" ht="19.899999999999999" customHeight="1" x14ac:dyDescent="0.25">
      <c r="B13" s="102" t="s">
        <v>15</v>
      </c>
      <c r="C13" s="47"/>
    </row>
    <row r="14" spans="1:32" ht="19.899999999999999" customHeight="1" x14ac:dyDescent="0.25">
      <c r="B14" s="102" t="s">
        <v>16</v>
      </c>
      <c r="C14" s="47"/>
    </row>
    <row r="15" spans="1:32" ht="19.899999999999999" customHeight="1" x14ac:dyDescent="0.25">
      <c r="B15" s="102" t="s">
        <v>17</v>
      </c>
      <c r="C15" s="47"/>
    </row>
    <row r="16" spans="1:32" ht="19.899999999999999" customHeight="1" x14ac:dyDescent="0.25">
      <c r="B16" s="102" t="s">
        <v>18</v>
      </c>
      <c r="C16" s="47"/>
    </row>
    <row r="17" spans="2:3" ht="19.5" customHeight="1" x14ac:dyDescent="0.25">
      <c r="B17" s="102" t="s">
        <v>19</v>
      </c>
      <c r="C17" s="47"/>
    </row>
    <row r="18" spans="2:3" ht="15" customHeight="1" x14ac:dyDescent="0.25"/>
    <row r="19" spans="2:3" ht="12.75" customHeight="1" x14ac:dyDescent="0.25"/>
    <row r="20" spans="2:3" ht="30.75" customHeight="1" x14ac:dyDescent="0.25"/>
  </sheetData>
  <conditionalFormatting sqref="C4">
    <cfRule type="containsText" dxfId="97" priority="1" operator="containsText" text="NOT OK">
      <formula>NOT(ISERROR(SEARCH("NOT OK",C4)))</formula>
    </cfRule>
    <cfRule type="containsText" dxfId="96" priority="2" operator="containsText" text="OK">
      <formula>NOT(ISERROR(SEARCH("OK",C4)))</formula>
    </cfRule>
  </conditionalFormatting>
  <conditionalFormatting sqref="F5:G5">
    <cfRule type="containsText" dxfId="95" priority="3" operator="containsText" text="NOT OK">
      <formula>NOT(ISERROR(SEARCH("NOT OK",F5)))</formula>
    </cfRule>
    <cfRule type="containsText" dxfId="94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19C91-9C91-4DBA-A7F0-3301BC496208}">
  <sheetPr codeName="Sheet5">
    <tabColor theme="5" tint="0.39997558519241921"/>
  </sheetPr>
  <dimension ref="A1:AF27"/>
  <sheetViews>
    <sheetView zoomScaleNormal="100" workbookViewId="0">
      <selection activeCell="C24" sqref="C24"/>
    </sheetView>
  </sheetViews>
  <sheetFormatPr defaultRowHeight="15" x14ac:dyDescent="0.25"/>
  <cols>
    <col min="2" max="2" width="60.28515625" customWidth="1"/>
    <col min="3" max="3" width="13.5703125" bestFit="1" customWidth="1"/>
    <col min="7" max="7" width="8.7109375" customWidth="1"/>
    <col min="8" max="8" width="7.28515625" customWidth="1"/>
    <col min="9" max="9" width="7.7109375" customWidth="1"/>
    <col min="10" max="10" width="9.140625" customWidth="1"/>
    <col min="11" max="11" width="13.140625" customWidth="1"/>
    <col min="12" max="12" width="12.28515625" customWidth="1"/>
    <col min="13" max="13" width="14.85546875" customWidth="1"/>
    <col min="14" max="14" width="11.28515625" customWidth="1"/>
    <col min="15" max="15" width="12.7109375" customWidth="1"/>
  </cols>
  <sheetData>
    <row r="1" spans="1:32" s="20" customFormat="1" ht="18" x14ac:dyDescent="0.25">
      <c r="A1" s="37" t="s">
        <v>70</v>
      </c>
      <c r="J1" s="21"/>
    </row>
    <row r="2" spans="1:32" s="23" customFormat="1" ht="11.25" x14ac:dyDescent="0.2">
      <c r="A2" s="22" t="s">
        <v>71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41.25" customHeight="1" x14ac:dyDescent="0.25">
      <c r="B8" s="13" t="s">
        <v>32</v>
      </c>
    </row>
    <row r="9" spans="1:32" ht="15.75" x14ac:dyDescent="0.25">
      <c r="B9" s="13" t="s">
        <v>33</v>
      </c>
      <c r="C9" s="50"/>
    </row>
    <row r="10" spans="1:32" ht="15.75" x14ac:dyDescent="0.25">
      <c r="B10" s="13" t="s">
        <v>1</v>
      </c>
      <c r="C10" s="50"/>
    </row>
    <row r="11" spans="1:32" ht="15.75" x14ac:dyDescent="0.25">
      <c r="B11" s="13" t="s">
        <v>0</v>
      </c>
    </row>
    <row r="12" spans="1:32" ht="15.75" x14ac:dyDescent="0.25">
      <c r="B12" s="13" t="s">
        <v>34</v>
      </c>
    </row>
    <row r="13" spans="1:32" ht="15.75" x14ac:dyDescent="0.25">
      <c r="B13" s="13" t="s">
        <v>35</v>
      </c>
    </row>
    <row r="14" spans="1:32" ht="31.5" x14ac:dyDescent="0.25">
      <c r="B14" s="13" t="s">
        <v>36</v>
      </c>
    </row>
    <row r="15" spans="1:32" ht="15.75" x14ac:dyDescent="0.25">
      <c r="B15" s="13" t="s">
        <v>37</v>
      </c>
    </row>
    <row r="16" spans="1:32" ht="47.25" x14ac:dyDescent="0.25">
      <c r="B16" s="13" t="s">
        <v>38</v>
      </c>
    </row>
    <row r="17" spans="2:3" ht="15.75" x14ac:dyDescent="0.25">
      <c r="B17" s="13" t="s">
        <v>39</v>
      </c>
    </row>
    <row r="18" spans="2:3" ht="15.75" x14ac:dyDescent="0.25">
      <c r="B18" s="13" t="s">
        <v>3</v>
      </c>
    </row>
    <row r="19" spans="2:3" ht="31.5" x14ac:dyDescent="0.25">
      <c r="B19" s="13" t="s">
        <v>40</v>
      </c>
      <c r="C19" s="5"/>
    </row>
    <row r="20" spans="2:3" ht="15.75" x14ac:dyDescent="0.25">
      <c r="B20" s="13" t="s">
        <v>2</v>
      </c>
      <c r="C20" s="5"/>
    </row>
    <row r="21" spans="2:3" ht="15.75" x14ac:dyDescent="0.25">
      <c r="B21" s="13" t="s">
        <v>41</v>
      </c>
      <c r="C21" s="1"/>
    </row>
    <row r="22" spans="2:3" ht="15.75" x14ac:dyDescent="0.25">
      <c r="B22" s="13" t="s">
        <v>42</v>
      </c>
      <c r="C22" s="6"/>
    </row>
    <row r="23" spans="2:3" ht="15.75" x14ac:dyDescent="0.25">
      <c r="B23" s="13" t="s">
        <v>43</v>
      </c>
      <c r="C23" s="7"/>
    </row>
    <row r="24" spans="2:3" ht="15.75" x14ac:dyDescent="0.25">
      <c r="B24" s="103" t="s">
        <v>44</v>
      </c>
      <c r="C24" s="2"/>
    </row>
    <row r="25" spans="2:3" ht="15.75" x14ac:dyDescent="0.25">
      <c r="C25" s="2"/>
    </row>
    <row r="27" spans="2:3" ht="15.75" x14ac:dyDescent="0.25">
      <c r="B27" s="62"/>
    </row>
  </sheetData>
  <conditionalFormatting sqref="C4">
    <cfRule type="containsText" dxfId="93" priority="1" operator="containsText" text="NOT OK">
      <formula>NOT(ISERROR(SEARCH("NOT OK",C4)))</formula>
    </cfRule>
    <cfRule type="containsText" dxfId="92" priority="2" operator="containsText" text="OK">
      <formula>NOT(ISERROR(SEARCH("OK",C4)))</formula>
    </cfRule>
  </conditionalFormatting>
  <conditionalFormatting sqref="F5:G5">
    <cfRule type="containsText" dxfId="91" priority="3" operator="containsText" text="NOT OK">
      <formula>NOT(ISERROR(SEARCH("NOT OK",F5)))</formula>
    </cfRule>
    <cfRule type="containsText" dxfId="90" priority="4" operator="containsText" text="OK">
      <formula>NOT(ISERROR(SEARCH("OK",F5)))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D88A-EB2E-4B80-B998-8642AAEE133B}">
  <sheetPr codeName="Sheet4">
    <tabColor theme="5" tint="0.39997558519241921"/>
  </sheetPr>
  <dimension ref="A1:AF10"/>
  <sheetViews>
    <sheetView zoomScale="115" zoomScaleNormal="115" workbookViewId="0">
      <selection activeCell="C16" sqref="C16"/>
    </sheetView>
  </sheetViews>
  <sheetFormatPr defaultColWidth="9.28515625" defaultRowHeight="15" customHeight="1" x14ac:dyDescent="0.25"/>
  <cols>
    <col min="2" max="2" width="52" customWidth="1"/>
    <col min="3" max="3" width="16.7109375" bestFit="1" customWidth="1"/>
    <col min="4" max="4" width="12.28515625" bestFit="1" customWidth="1"/>
  </cols>
  <sheetData>
    <row r="1" spans="1:32" s="20" customFormat="1" ht="18" x14ac:dyDescent="0.25">
      <c r="A1" s="37" t="s">
        <v>73</v>
      </c>
      <c r="J1" s="21"/>
    </row>
    <row r="2" spans="1:32" s="23" customFormat="1" ht="11.25" x14ac:dyDescent="0.2">
      <c r="A2" s="22" t="s">
        <v>47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74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7" spans="1:32" ht="15" customHeight="1" thickBot="1" x14ac:dyDescent="0.3"/>
    <row r="8" spans="1:32" ht="16.5" thickBot="1" x14ac:dyDescent="0.3">
      <c r="B8" s="9" t="s">
        <v>7</v>
      </c>
      <c r="C8" s="59">
        <v>0.2</v>
      </c>
    </row>
    <row r="9" spans="1:32" ht="15" customHeight="1" thickBot="1" x14ac:dyDescent="0.3">
      <c r="B9" s="60" t="s">
        <v>8</v>
      </c>
      <c r="C9" s="11">
        <v>60</v>
      </c>
    </row>
    <row r="10" spans="1:32" ht="15" customHeight="1" thickBot="1" x14ac:dyDescent="0.3">
      <c r="B10" s="60" t="s">
        <v>9</v>
      </c>
      <c r="C10" s="12">
        <v>0.2</v>
      </c>
    </row>
  </sheetData>
  <conditionalFormatting sqref="C4">
    <cfRule type="containsText" dxfId="89" priority="1" operator="containsText" text="NOT OK">
      <formula>NOT(ISERROR(SEARCH("NOT OK",C4)))</formula>
    </cfRule>
    <cfRule type="containsText" dxfId="88" priority="2" operator="containsText" text="OK">
      <formula>NOT(ISERROR(SEARCH("OK",C4)))</formula>
    </cfRule>
  </conditionalFormatting>
  <conditionalFormatting sqref="F5:G5">
    <cfRule type="containsText" dxfId="87" priority="3" operator="containsText" text="NOT OK">
      <formula>NOT(ISERROR(SEARCH("NOT OK",F5)))</formula>
    </cfRule>
    <cfRule type="containsText" dxfId="86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1962-6933-4C37-A57E-BA60C5FFE997}">
  <sheetPr codeName="Sheet7">
    <tabColor theme="5" tint="0.39997558519241921"/>
  </sheetPr>
  <dimension ref="A1:AH25"/>
  <sheetViews>
    <sheetView zoomScaleNormal="100" workbookViewId="0">
      <selection activeCell="B24" sqref="B24"/>
    </sheetView>
  </sheetViews>
  <sheetFormatPr defaultRowHeight="15" x14ac:dyDescent="0.25"/>
  <cols>
    <col min="2" max="2" width="37.42578125" customWidth="1"/>
    <col min="3" max="3" width="14.7109375" customWidth="1"/>
    <col min="4" max="4" width="43.42578125" customWidth="1"/>
    <col min="5" max="5" width="11.140625" customWidth="1"/>
    <col min="6" max="6" width="13.7109375" customWidth="1"/>
    <col min="7" max="7" width="15.42578125" customWidth="1"/>
    <col min="10" max="11" width="13.7109375" bestFit="1" customWidth="1"/>
    <col min="14" max="14" width="11.140625" bestFit="1" customWidth="1"/>
    <col min="15" max="15" width="12.7109375" customWidth="1"/>
  </cols>
  <sheetData>
    <row r="1" spans="1:34" s="20" customFormat="1" ht="18" x14ac:dyDescent="0.25">
      <c r="A1" s="37" t="s">
        <v>162</v>
      </c>
      <c r="L1" s="21"/>
    </row>
    <row r="2" spans="1:34" s="23" customFormat="1" ht="11.25" x14ac:dyDescent="0.2">
      <c r="A2" s="22" t="s">
        <v>161</v>
      </c>
      <c r="C2" s="24"/>
      <c r="D2" s="24"/>
      <c r="E2" s="25"/>
      <c r="F2" s="25"/>
      <c r="G2" s="26"/>
      <c r="L2" s="27"/>
      <c r="S2" s="28"/>
    </row>
    <row r="3" spans="1:34" s="23" customFormat="1" ht="11.25" x14ac:dyDescent="0.2">
      <c r="A3" s="22"/>
      <c r="C3" s="24"/>
      <c r="D3" s="24"/>
      <c r="E3" s="25"/>
      <c r="F3" s="25"/>
      <c r="G3" s="26"/>
      <c r="L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G5" s="29"/>
      <c r="H5" s="30"/>
      <c r="I5" s="24"/>
      <c r="J5" s="31"/>
    </row>
    <row r="6" spans="1:34" s="34" customFormat="1" x14ac:dyDescent="0.25">
      <c r="A6" s="32"/>
      <c r="B6" s="33" t="s">
        <v>163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8" spans="1:34" x14ac:dyDescent="0.25">
      <c r="E8" s="76" t="s">
        <v>144</v>
      </c>
      <c r="F8" s="76"/>
    </row>
    <row r="10" spans="1:34" ht="24" customHeight="1" x14ac:dyDescent="0.25">
      <c r="E10" s="71" t="s">
        <v>208</v>
      </c>
    </row>
    <row r="11" spans="1:34" ht="22.5" customHeight="1" x14ac:dyDescent="0.25">
      <c r="B11" s="75" t="s">
        <v>143</v>
      </c>
      <c r="D11" s="70" t="s">
        <v>147</v>
      </c>
    </row>
    <row r="12" spans="1:34" ht="22.5" customHeight="1" thickBot="1" x14ac:dyDescent="0.3">
      <c r="D12" s="70" t="s">
        <v>146</v>
      </c>
      <c r="E12" t="s">
        <v>212</v>
      </c>
      <c r="F12" t="s">
        <v>205</v>
      </c>
    </row>
    <row r="13" spans="1:34" ht="15.75" thickBot="1" x14ac:dyDescent="0.3">
      <c r="B13" s="69" t="s">
        <v>245</v>
      </c>
    </row>
    <row r="14" spans="1:34" ht="15.75" thickBot="1" x14ac:dyDescent="0.3">
      <c r="B14" s="69" t="s">
        <v>169</v>
      </c>
    </row>
    <row r="15" spans="1:34" ht="15.75" thickBot="1" x14ac:dyDescent="0.3">
      <c r="B15" s="69" t="s">
        <v>246</v>
      </c>
    </row>
    <row r="16" spans="1:34" ht="15.75" thickBot="1" x14ac:dyDescent="0.3">
      <c r="B16" s="69" t="s">
        <v>170</v>
      </c>
    </row>
    <row r="17" spans="2:2" ht="15.75" thickBot="1" x14ac:dyDescent="0.3">
      <c r="B17" s="69" t="s">
        <v>247</v>
      </c>
    </row>
    <row r="18" spans="2:2" ht="15.75" thickBot="1" x14ac:dyDescent="0.3">
      <c r="B18" s="69" t="s">
        <v>171</v>
      </c>
    </row>
    <row r="19" spans="2:2" ht="15.75" thickBot="1" x14ac:dyDescent="0.3">
      <c r="B19" s="69" t="s">
        <v>248</v>
      </c>
    </row>
    <row r="20" spans="2:2" ht="15.75" thickBot="1" x14ac:dyDescent="0.3">
      <c r="B20" s="69" t="s">
        <v>172</v>
      </c>
    </row>
    <row r="21" spans="2:2" ht="15.75" thickBot="1" x14ac:dyDescent="0.3">
      <c r="B21" s="69" t="s">
        <v>249</v>
      </c>
    </row>
    <row r="22" spans="2:2" ht="15.75" thickBot="1" x14ac:dyDescent="0.3">
      <c r="B22" s="69" t="s">
        <v>173</v>
      </c>
    </row>
    <row r="23" spans="2:2" ht="15.75" thickBot="1" x14ac:dyDescent="0.3">
      <c r="B23" s="69" t="s">
        <v>250</v>
      </c>
    </row>
    <row r="24" spans="2:2" ht="15.75" thickBot="1" x14ac:dyDescent="0.3">
      <c r="B24" s="69" t="s">
        <v>174</v>
      </c>
    </row>
    <row r="25" spans="2:2" x14ac:dyDescent="0.25">
      <c r="B25" s="116" t="s">
        <v>182</v>
      </c>
    </row>
  </sheetData>
  <conditionalFormatting sqref="C4:D4">
    <cfRule type="containsText" dxfId="85" priority="3" operator="containsText" text="NOT OK">
      <formula>NOT(ISERROR(SEARCH("NOT OK",C4)))</formula>
    </cfRule>
    <cfRule type="containsText" dxfId="84" priority="4" operator="containsText" text="OK">
      <formula>NOT(ISERROR(SEARCH("OK",C4)))</formula>
    </cfRule>
  </conditionalFormatting>
  <conditionalFormatting sqref="H5:I5">
    <cfRule type="containsText" dxfId="83" priority="5" operator="containsText" text="NOT OK">
      <formula>NOT(ISERROR(SEARCH("NOT OK",H5)))</formula>
    </cfRule>
    <cfRule type="containsText" dxfId="82" priority="6" operator="containsText" text="OK">
      <formula>NOT(ISERROR(SEARCH("OK",H5)))</formula>
    </cfRule>
  </conditionalFormatting>
  <conditionalFormatting sqref="E12">
    <cfRule type="expression" dxfId="81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F12" xr:uid="{8CDEA254-83B4-4ADC-9930-4E13D721E292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4D78EB7-766C-44F7-A410-3514C2FE4FBC}">
            <xm:f>F12='Model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E12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DED9-30F9-4559-8ED6-B77645D31523}">
  <sheetPr codeName="Sheet18">
    <tabColor theme="5" tint="-0.249977111117893"/>
  </sheetPr>
  <dimension ref="B6"/>
  <sheetViews>
    <sheetView zoomScaleNormal="100" workbookViewId="0">
      <selection activeCell="M34" sqref="M34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164</v>
      </c>
    </row>
  </sheetData>
  <pageMargins left="0.7" right="0.7" top="0.75" bottom="0.75" header="0.3" footer="0.3"/>
  <cellWatches>
    <cellWatch r="A1"/>
  </cellWatche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A78A7-2518-4AB0-9A2A-35CA3CB9053D}">
  <sheetPr codeName="Sheet2">
    <tabColor theme="5" tint="0.39997558519241921"/>
  </sheetPr>
  <dimension ref="A1:AE70"/>
  <sheetViews>
    <sheetView topLeftCell="A7" zoomScaleNormal="100" workbookViewId="0">
      <selection activeCell="D69" sqref="D69:D70"/>
    </sheetView>
  </sheetViews>
  <sheetFormatPr defaultColWidth="9.140625" defaultRowHeight="15" customHeight="1" x14ac:dyDescent="0.25"/>
  <cols>
    <col min="2" max="2" width="43.42578125" customWidth="1"/>
    <col min="3" max="3" width="11.140625" customWidth="1"/>
    <col min="4" max="4" width="13.7109375" customWidth="1"/>
    <col min="6" max="6" width="13.7109375" customWidth="1"/>
  </cols>
  <sheetData>
    <row r="1" spans="1:31" s="20" customFormat="1" ht="18" x14ac:dyDescent="0.25">
      <c r="A1" s="37" t="s">
        <v>154</v>
      </c>
      <c r="I1" s="21"/>
    </row>
    <row r="2" spans="1:31" s="23" customFormat="1" ht="11.25" x14ac:dyDescent="0.2">
      <c r="A2" s="22" t="s">
        <v>149</v>
      </c>
      <c r="C2" s="24"/>
      <c r="D2" s="26"/>
      <c r="I2" s="27"/>
      <c r="P2" s="28"/>
    </row>
    <row r="3" spans="1:31" s="23" customFormat="1" ht="11.25" x14ac:dyDescent="0.2">
      <c r="A3" s="22"/>
      <c r="C3" s="24"/>
      <c r="D3" s="26"/>
      <c r="I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D5" s="29"/>
      <c r="E5" s="30"/>
      <c r="F5" s="24"/>
      <c r="G5" s="31"/>
    </row>
    <row r="6" spans="1:31" s="34" customFormat="1" x14ac:dyDescent="0.25">
      <c r="A6" s="32"/>
      <c r="B6" s="33" t="s">
        <v>153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24" customHeight="1" thickBot="1" x14ac:dyDescent="0.3">
      <c r="B8" s="69" t="s">
        <v>245</v>
      </c>
      <c r="C8" s="71" t="s">
        <v>208</v>
      </c>
      <c r="I8">
        <v>16867.760789712316</v>
      </c>
    </row>
    <row r="9" spans="1:31" ht="22.5" customHeight="1" x14ac:dyDescent="0.25">
      <c r="B9" s="70" t="s">
        <v>147</v>
      </c>
      <c r="C9">
        <v>2500</v>
      </c>
      <c r="I9">
        <v>1700</v>
      </c>
    </row>
    <row r="10" spans="1:31" ht="22.5" customHeight="1" x14ac:dyDescent="0.25">
      <c r="B10" s="70" t="s">
        <v>146</v>
      </c>
      <c r="C10">
        <v>17000</v>
      </c>
      <c r="D10" t="s">
        <v>205</v>
      </c>
      <c r="I10">
        <v>11245.173859808212</v>
      </c>
    </row>
    <row r="11" spans="1:31" ht="15" customHeight="1" x14ac:dyDescent="0.25">
      <c r="I11">
        <v>1500</v>
      </c>
    </row>
    <row r="12" spans="1:31" ht="15" customHeight="1" thickBot="1" x14ac:dyDescent="0.3">
      <c r="I12">
        <v>5622.586929904106</v>
      </c>
    </row>
    <row r="13" spans="1:31" ht="24" customHeight="1" thickBot="1" x14ac:dyDescent="0.3">
      <c r="B13" s="69" t="s">
        <v>169</v>
      </c>
      <c r="C13" s="71" t="s">
        <v>208</v>
      </c>
      <c r="I13">
        <v>500</v>
      </c>
    </row>
    <row r="14" spans="1:31" ht="22.5" customHeight="1" x14ac:dyDescent="0.25">
      <c r="B14" s="70" t="s">
        <v>147</v>
      </c>
      <c r="C14">
        <v>2500</v>
      </c>
      <c r="I14">
        <v>1389.343007917963</v>
      </c>
    </row>
    <row r="15" spans="1:31" ht="22.5" customHeight="1" x14ac:dyDescent="0.25">
      <c r="B15" s="70" t="s">
        <v>146</v>
      </c>
      <c r="C15">
        <v>17000</v>
      </c>
      <c r="D15" t="s">
        <v>205</v>
      </c>
      <c r="I15">
        <v>360</v>
      </c>
    </row>
    <row r="16" spans="1:31" ht="15" customHeight="1" x14ac:dyDescent="0.25">
      <c r="I16">
        <v>926.22867194530863</v>
      </c>
    </row>
    <row r="17" spans="2:9" ht="15" customHeight="1" thickBot="1" x14ac:dyDescent="0.3">
      <c r="I17">
        <v>250</v>
      </c>
    </row>
    <row r="18" spans="2:9" ht="24" customHeight="1" thickBot="1" x14ac:dyDescent="0.3">
      <c r="B18" s="69" t="s">
        <v>246</v>
      </c>
      <c r="C18" s="71" t="s">
        <v>208</v>
      </c>
      <c r="I18">
        <v>463.11433597265432</v>
      </c>
    </row>
    <row r="19" spans="2:9" ht="22.5" customHeight="1" x14ac:dyDescent="0.25">
      <c r="B19" s="70" t="s">
        <v>147</v>
      </c>
      <c r="C19">
        <v>1500</v>
      </c>
      <c r="I19">
        <v>110</v>
      </c>
    </row>
    <row r="20" spans="2:9" ht="22.5" customHeight="1" x14ac:dyDescent="0.25">
      <c r="B20" s="70" t="s">
        <v>146</v>
      </c>
      <c r="C20">
        <v>12000</v>
      </c>
      <c r="D20" t="s">
        <v>205</v>
      </c>
    </row>
    <row r="22" spans="2:9" ht="15" customHeight="1" thickBot="1" x14ac:dyDescent="0.3"/>
    <row r="23" spans="2:9" ht="24" customHeight="1" thickBot="1" x14ac:dyDescent="0.3">
      <c r="B23" s="69" t="s">
        <v>170</v>
      </c>
      <c r="C23" s="71" t="s">
        <v>208</v>
      </c>
    </row>
    <row r="24" spans="2:9" ht="22.5" customHeight="1" x14ac:dyDescent="0.25">
      <c r="B24" s="70" t="s">
        <v>147</v>
      </c>
      <c r="C24">
        <v>1500</v>
      </c>
    </row>
    <row r="25" spans="2:9" ht="22.5" customHeight="1" x14ac:dyDescent="0.25">
      <c r="B25" s="70" t="s">
        <v>146</v>
      </c>
      <c r="C25">
        <v>12000</v>
      </c>
      <c r="D25" t="s">
        <v>205</v>
      </c>
    </row>
    <row r="27" spans="2:9" ht="15" customHeight="1" thickBot="1" x14ac:dyDescent="0.3"/>
    <row r="28" spans="2:9" ht="24" customHeight="1" thickBot="1" x14ac:dyDescent="0.3">
      <c r="B28" s="69" t="s">
        <v>247</v>
      </c>
      <c r="C28" s="71" t="s">
        <v>208</v>
      </c>
    </row>
    <row r="29" spans="2:9" ht="22.5" customHeight="1" x14ac:dyDescent="0.25">
      <c r="B29" s="70" t="s">
        <v>147</v>
      </c>
      <c r="C29">
        <v>750</v>
      </c>
    </row>
    <row r="30" spans="2:9" ht="22.5" customHeight="1" x14ac:dyDescent="0.25">
      <c r="B30" s="70" t="s">
        <v>146</v>
      </c>
      <c r="C30">
        <v>5000</v>
      </c>
      <c r="D30" t="s">
        <v>205</v>
      </c>
    </row>
    <row r="32" spans="2:9" ht="15" customHeight="1" thickBot="1" x14ac:dyDescent="0.3"/>
    <row r="33" spans="2:4" ht="24" customHeight="1" thickBot="1" x14ac:dyDescent="0.3">
      <c r="B33" s="69" t="s">
        <v>171</v>
      </c>
      <c r="C33" s="71" t="s">
        <v>208</v>
      </c>
    </row>
    <row r="34" spans="2:4" ht="22.5" customHeight="1" x14ac:dyDescent="0.25">
      <c r="B34" s="70" t="s">
        <v>147</v>
      </c>
      <c r="C34">
        <v>750</v>
      </c>
    </row>
    <row r="35" spans="2:4" ht="22.5" customHeight="1" x14ac:dyDescent="0.25">
      <c r="B35" s="70" t="s">
        <v>146</v>
      </c>
      <c r="C35">
        <v>5000</v>
      </c>
      <c r="D35" t="s">
        <v>205</v>
      </c>
    </row>
    <row r="37" spans="2:4" ht="15" customHeight="1" thickBot="1" x14ac:dyDescent="0.3"/>
    <row r="38" spans="2:4" ht="24" customHeight="1" thickBot="1" x14ac:dyDescent="0.3">
      <c r="B38" s="69" t="s">
        <v>248</v>
      </c>
      <c r="C38" s="71" t="s">
        <v>208</v>
      </c>
    </row>
    <row r="39" spans="2:4" ht="22.5" customHeight="1" x14ac:dyDescent="0.25">
      <c r="B39" s="70" t="s">
        <v>147</v>
      </c>
      <c r="C39">
        <v>1500</v>
      </c>
    </row>
    <row r="40" spans="2:4" ht="22.5" customHeight="1" x14ac:dyDescent="0.25">
      <c r="B40" s="70" t="s">
        <v>146</v>
      </c>
      <c r="C40">
        <v>2000</v>
      </c>
      <c r="D40" t="s">
        <v>205</v>
      </c>
    </row>
    <row r="42" spans="2:4" ht="15" customHeight="1" thickBot="1" x14ac:dyDescent="0.3"/>
    <row r="43" spans="2:4" ht="24" customHeight="1" thickBot="1" x14ac:dyDescent="0.3">
      <c r="B43" s="69" t="s">
        <v>172</v>
      </c>
      <c r="C43" s="71" t="s">
        <v>208</v>
      </c>
    </row>
    <row r="44" spans="2:4" ht="22.5" customHeight="1" x14ac:dyDescent="0.25">
      <c r="B44" s="70" t="s">
        <v>147</v>
      </c>
      <c r="C44">
        <v>1500</v>
      </c>
    </row>
    <row r="45" spans="2:4" ht="22.5" customHeight="1" x14ac:dyDescent="0.25">
      <c r="B45" s="70" t="s">
        <v>146</v>
      </c>
      <c r="C45">
        <v>2000</v>
      </c>
      <c r="D45" t="s">
        <v>205</v>
      </c>
    </row>
    <row r="47" spans="2:4" ht="15" customHeight="1" thickBot="1" x14ac:dyDescent="0.3"/>
    <row r="48" spans="2:4" ht="24" customHeight="1" thickBot="1" x14ac:dyDescent="0.3">
      <c r="B48" s="69" t="s">
        <v>249</v>
      </c>
      <c r="C48" s="71" t="s">
        <v>208</v>
      </c>
    </row>
    <row r="49" spans="2:4" ht="22.5" customHeight="1" x14ac:dyDescent="0.25">
      <c r="B49" s="70" t="s">
        <v>147</v>
      </c>
      <c r="C49">
        <v>800</v>
      </c>
    </row>
    <row r="50" spans="2:4" ht="22.5" customHeight="1" x14ac:dyDescent="0.25">
      <c r="B50" s="70" t="s">
        <v>146</v>
      </c>
      <c r="C50">
        <v>1200</v>
      </c>
      <c r="D50" t="s">
        <v>205</v>
      </c>
    </row>
    <row r="52" spans="2:4" ht="15" customHeight="1" thickBot="1" x14ac:dyDescent="0.3"/>
    <row r="53" spans="2:4" ht="24" customHeight="1" thickBot="1" x14ac:dyDescent="0.3">
      <c r="B53" s="69" t="s">
        <v>173</v>
      </c>
      <c r="C53" s="71" t="s">
        <v>208</v>
      </c>
    </row>
    <row r="54" spans="2:4" ht="22.5" customHeight="1" x14ac:dyDescent="0.25">
      <c r="B54" s="70" t="s">
        <v>147</v>
      </c>
      <c r="C54">
        <v>800</v>
      </c>
    </row>
    <row r="55" spans="2:4" ht="22.5" customHeight="1" x14ac:dyDescent="0.25">
      <c r="B55" s="70" t="s">
        <v>146</v>
      </c>
      <c r="C55">
        <v>1200</v>
      </c>
      <c r="D55" t="s">
        <v>205</v>
      </c>
    </row>
    <row r="57" spans="2:4" ht="15" customHeight="1" thickBot="1" x14ac:dyDescent="0.3"/>
    <row r="58" spans="2:4" ht="24" customHeight="1" thickBot="1" x14ac:dyDescent="0.3">
      <c r="B58" s="69" t="s">
        <v>250</v>
      </c>
      <c r="C58" s="71" t="s">
        <v>208</v>
      </c>
    </row>
    <row r="59" spans="2:4" ht="22.5" customHeight="1" x14ac:dyDescent="0.25">
      <c r="B59" s="70" t="s">
        <v>147</v>
      </c>
      <c r="C59">
        <v>400</v>
      </c>
    </row>
    <row r="60" spans="2:4" ht="22.5" customHeight="1" x14ac:dyDescent="0.25">
      <c r="B60" s="70" t="s">
        <v>146</v>
      </c>
      <c r="C60">
        <v>300</v>
      </c>
      <c r="D60" t="s">
        <v>205</v>
      </c>
    </row>
    <row r="62" spans="2:4" ht="15" customHeight="1" thickBot="1" x14ac:dyDescent="0.3"/>
    <row r="63" spans="2:4" ht="24" customHeight="1" thickBot="1" x14ac:dyDescent="0.3">
      <c r="B63" s="69" t="s">
        <v>174</v>
      </c>
      <c r="C63" s="71" t="s">
        <v>208</v>
      </c>
    </row>
    <row r="64" spans="2:4" ht="22.5" customHeight="1" x14ac:dyDescent="0.25">
      <c r="B64" s="70" t="s">
        <v>147</v>
      </c>
      <c r="C64">
        <v>400</v>
      </c>
    </row>
    <row r="65" spans="2:4" ht="22.5" customHeight="1" x14ac:dyDescent="0.25">
      <c r="B65" s="70" t="s">
        <v>146</v>
      </c>
      <c r="C65">
        <v>300</v>
      </c>
      <c r="D65" t="s">
        <v>205</v>
      </c>
    </row>
    <row r="68" spans="2:4" ht="24" customHeight="1" x14ac:dyDescent="0.25">
      <c r="B68" s="116" t="s">
        <v>182</v>
      </c>
      <c r="C68" s="71" t="s">
        <v>208</v>
      </c>
    </row>
    <row r="69" spans="2:4" ht="22.5" customHeight="1" x14ac:dyDescent="0.25">
      <c r="B69" s="70" t="s">
        <v>147</v>
      </c>
    </row>
    <row r="70" spans="2:4" ht="22.5" customHeight="1" x14ac:dyDescent="0.25">
      <c r="B70" s="70" t="s">
        <v>146</v>
      </c>
      <c r="D70" t="s">
        <v>205</v>
      </c>
    </row>
  </sheetData>
  <conditionalFormatting sqref="C4">
    <cfRule type="containsText" dxfId="79" priority="423" operator="containsText" text="NOT OK">
      <formula>NOT(ISERROR(SEARCH("NOT OK",C4)))</formula>
    </cfRule>
    <cfRule type="containsText" dxfId="78" priority="424" operator="containsText" text="OK">
      <formula>NOT(ISERROR(SEARCH("OK",C4)))</formula>
    </cfRule>
  </conditionalFormatting>
  <conditionalFormatting sqref="E5:F5">
    <cfRule type="containsText" dxfId="77" priority="425" operator="containsText" text="NOT OK">
      <formula>NOT(ISERROR(SEARCH("NOT OK",E5)))</formula>
    </cfRule>
    <cfRule type="containsText" dxfId="76" priority="426" operator="containsText" text="OK">
      <formula>NOT(ISERROR(SEARCH("OK",E5)))</formula>
    </cfRule>
  </conditionalFormatting>
  <conditionalFormatting sqref="C10">
    <cfRule type="expression" dxfId="25" priority="25" stopIfTrue="1">
      <formula>"'=F12='Model Configurator Sup'!$M$3"</formula>
    </cfRule>
  </conditionalFormatting>
  <conditionalFormatting sqref="C15">
    <cfRule type="expression" dxfId="23" priority="23" stopIfTrue="1">
      <formula>"'=F12='Model Configurator Sup'!$M$3"</formula>
    </cfRule>
  </conditionalFormatting>
  <conditionalFormatting sqref="C20">
    <cfRule type="expression" dxfId="21" priority="21" stopIfTrue="1">
      <formula>"'=F12='Model Configurator Sup'!$M$3"</formula>
    </cfRule>
  </conditionalFormatting>
  <conditionalFormatting sqref="C25">
    <cfRule type="expression" dxfId="19" priority="19" stopIfTrue="1">
      <formula>"'=F12='Model Configurator Sup'!$M$3"</formula>
    </cfRule>
  </conditionalFormatting>
  <conditionalFormatting sqref="C30">
    <cfRule type="expression" dxfId="17" priority="17" stopIfTrue="1">
      <formula>"'=F12='Model Configurator Sup'!$M$3"</formula>
    </cfRule>
  </conditionalFormatting>
  <conditionalFormatting sqref="C35">
    <cfRule type="expression" dxfId="15" priority="15" stopIfTrue="1">
      <formula>"'=F12='Model Configurator Sup'!$M$3"</formula>
    </cfRule>
  </conditionalFormatting>
  <conditionalFormatting sqref="C40">
    <cfRule type="expression" dxfId="13" priority="13" stopIfTrue="1">
      <formula>"'=F12='Model Configurator Sup'!$M$3"</formula>
    </cfRule>
  </conditionalFormatting>
  <conditionalFormatting sqref="C45">
    <cfRule type="expression" dxfId="11" priority="11" stopIfTrue="1">
      <formula>"'=F12='Model Configurator Sup'!$M$3"</formula>
    </cfRule>
  </conditionalFormatting>
  <conditionalFormatting sqref="C50">
    <cfRule type="expression" dxfId="9" priority="9" stopIfTrue="1">
      <formula>"'=F12='Model Configurator Sup'!$M$3"</formula>
    </cfRule>
  </conditionalFormatting>
  <conditionalFormatting sqref="C55">
    <cfRule type="expression" dxfId="7" priority="7" stopIfTrue="1">
      <formula>"'=F12='Model Configurator Sup'!$M$3"</formula>
    </cfRule>
  </conditionalFormatting>
  <conditionalFormatting sqref="C60">
    <cfRule type="expression" dxfId="5" priority="5" stopIfTrue="1">
      <formula>"'=F12='Model Configurator Sup'!$M$3"</formula>
    </cfRule>
  </conditionalFormatting>
  <conditionalFormatting sqref="C65">
    <cfRule type="expression" dxfId="3" priority="3" stopIfTrue="1">
      <formula>"'=F12='Model Configurator Sup'!$M$3"</formula>
    </cfRule>
  </conditionalFormatting>
  <conditionalFormatting sqref="C70">
    <cfRule type="expression" dxfId="1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D20 D30 F30 F35 F40 D35 F20 D10 D15 F25 F10 F15 D65 D25 D40 D45 D50 D55 D60 D70" xr:uid="{B8102187-330F-4C63-A8F5-0D38107CDBB6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" id="{C57DEE98-C51B-45F0-BEB5-1ED9C784ED7C}">
            <xm:f>D10='Model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24" id="{76CCBB92-10A6-42EA-83FE-AC59BC976BC0}">
            <xm:f>D15='Model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22" id="{50429C4F-52CC-49A7-935F-3A22DA41E9E4}">
            <xm:f>D20='Model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expression" priority="20" id="{44613A7F-F865-41B9-9600-EAFD630B5593}">
            <xm:f>D25='Model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expression" priority="18" id="{681F8F56-286B-4474-9108-D40030D05B53}">
            <xm:f>D30='Model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expression" priority="16" id="{94397BBC-FD88-4128-A029-A28E6522C998}">
            <xm:f>D35='Model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14" id="{8315B9D1-56BD-47BB-A7C2-3864D45C81A0}">
            <xm:f>D40='Model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expression" priority="12" id="{145D3E75-EF8F-48EF-AB39-329A069E6A18}">
            <xm:f>D45='Model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10" id="{81492CC1-B048-4348-B888-C8FD7CE8C550}">
            <xm:f>D50='Model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expression" priority="8" id="{4CC4DD46-3FBA-4D5E-86B9-2F39E158D20E}">
            <xm:f>D55='Model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C55</xm:sqref>
        </x14:conditionalFormatting>
        <x14:conditionalFormatting xmlns:xm="http://schemas.microsoft.com/office/excel/2006/main">
          <x14:cfRule type="expression" priority="6" id="{38A544A1-33B8-45E4-A966-CF74D2753F75}">
            <xm:f>D60='Model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expression" priority="4" id="{FB5F86D6-30A3-46CA-89CD-97273B418228}">
            <xm:f>D65='Model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expression" priority="2" id="{10F8DBF1-B57A-4E4E-BB21-BB993588CFDE}">
            <xm:f>D70='Model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C70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81647-29FE-4372-8800-FFB27CDDCA5B}">
  <sheetPr codeName="Sheet9">
    <tabColor theme="5" tint="0.39997558519241921"/>
  </sheetPr>
  <dimension ref="A1:AE29"/>
  <sheetViews>
    <sheetView zoomScale="85" zoomScaleNormal="85" workbookViewId="0">
      <selection activeCell="B11" sqref="B11:B27"/>
    </sheetView>
  </sheetViews>
  <sheetFormatPr defaultColWidth="9.28515625" defaultRowHeight="15" customHeight="1" x14ac:dyDescent="0.25"/>
  <cols>
    <col min="2" max="2" width="60.28515625" customWidth="1"/>
    <col min="3" max="3" width="5.7109375" customWidth="1"/>
    <col min="4" max="4" width="18.8554687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7" max="17" width="13.28515625" customWidth="1"/>
  </cols>
  <sheetData>
    <row r="1" spans="1:31" s="20" customFormat="1" ht="18" x14ac:dyDescent="0.25">
      <c r="A1" s="37" t="s">
        <v>175</v>
      </c>
      <c r="J1" s="21"/>
    </row>
    <row r="2" spans="1:31" s="23" customFormat="1" ht="11.25" x14ac:dyDescent="0.2">
      <c r="A2" s="22" t="s">
        <v>176</v>
      </c>
      <c r="C2" s="24"/>
      <c r="D2" s="25"/>
      <c r="E2" s="26"/>
      <c r="J2" s="27"/>
      <c r="P2" s="28"/>
    </row>
    <row r="3" spans="1:31" s="23" customFormat="1" ht="11.25" x14ac:dyDescent="0.2">
      <c r="A3" s="22"/>
      <c r="C3" s="24"/>
      <c r="D3" s="25"/>
      <c r="E3" s="26"/>
      <c r="J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E5" s="29"/>
      <c r="F5" s="30"/>
      <c r="G5" s="24"/>
      <c r="H5" s="31"/>
    </row>
    <row r="6" spans="1:31" s="34" customFormat="1" x14ac:dyDescent="0.25">
      <c r="A6" s="32"/>
      <c r="B6" s="33" t="s">
        <v>177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55.35" customHeight="1" thickBot="1" x14ac:dyDescent="0.3">
      <c r="B8" s="138" t="s">
        <v>5</v>
      </c>
      <c r="C8" s="8"/>
      <c r="D8" s="140" t="s">
        <v>46</v>
      </c>
      <c r="E8" s="142" t="s">
        <v>25</v>
      </c>
      <c r="F8" s="143"/>
      <c r="G8" s="143"/>
      <c r="H8" s="143"/>
      <c r="I8" s="143"/>
      <c r="J8" s="143"/>
      <c r="K8" s="143"/>
      <c r="L8" s="144"/>
      <c r="M8" s="145" t="s">
        <v>6</v>
      </c>
      <c r="N8" s="9" t="s">
        <v>7</v>
      </c>
      <c r="O8" s="9" t="s">
        <v>8</v>
      </c>
      <c r="P8" s="9" t="s">
        <v>9</v>
      </c>
    </row>
    <row r="9" spans="1:31" ht="16.5" customHeight="1" thickBot="1" x14ac:dyDescent="0.3">
      <c r="B9" s="139"/>
      <c r="C9" s="8"/>
      <c r="D9" s="141"/>
      <c r="E9" s="10">
        <v>0.5</v>
      </c>
      <c r="F9" s="10">
        <v>1</v>
      </c>
      <c r="G9" s="10">
        <v>2</v>
      </c>
      <c r="H9" s="10">
        <v>5</v>
      </c>
      <c r="I9" s="10">
        <v>10</v>
      </c>
      <c r="J9" s="10">
        <v>50</v>
      </c>
      <c r="K9" s="10">
        <v>100</v>
      </c>
      <c r="L9" s="10">
        <v>1000</v>
      </c>
      <c r="M9" s="146"/>
      <c r="N9" s="59">
        <f>'Network Parameters'!$C$8</f>
        <v>0.2</v>
      </c>
      <c r="O9" s="60">
        <f>'Network Parameters'!$C$9</f>
        <v>60</v>
      </c>
      <c r="P9" s="61">
        <f>'Network Parameters'!$C$10</f>
        <v>0.2</v>
      </c>
    </row>
    <row r="10" spans="1:31" ht="15" customHeight="1" thickBo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31" ht="41.25" customHeight="1" x14ac:dyDescent="0.25">
      <c r="B11" s="13" t="s">
        <v>32</v>
      </c>
      <c r="D11" s="77"/>
      <c r="E11" s="78"/>
      <c r="F11" s="78"/>
      <c r="G11" s="78"/>
      <c r="H11" s="79"/>
      <c r="I11" s="78"/>
      <c r="J11" s="78"/>
      <c r="K11" s="78"/>
      <c r="L11" s="80"/>
      <c r="M11" s="81">
        <f t="shared" ref="M11:M27" si="0">SUMPRODUCT($E$9:$L$9,E11:L11)</f>
        <v>0</v>
      </c>
      <c r="N11" s="82">
        <f t="shared" ref="N11:N27" si="1">(SUMPRODUCT($E$9:$L$9,E11:L11))*$N$9*D11</f>
        <v>0</v>
      </c>
      <c r="O11" s="82">
        <f>N11/$O$9</f>
        <v>0</v>
      </c>
      <c r="P11" s="83">
        <f>O11*(1+$P$9)</f>
        <v>0</v>
      </c>
    </row>
    <row r="12" spans="1:31" ht="15.75" customHeight="1" x14ac:dyDescent="0.25">
      <c r="B12" s="13" t="s">
        <v>33</v>
      </c>
      <c r="D12" s="84"/>
      <c r="E12" s="85"/>
      <c r="F12" s="85"/>
      <c r="G12" s="86"/>
      <c r="H12" s="87"/>
      <c r="I12" s="87"/>
      <c r="J12" s="87"/>
      <c r="K12" s="87"/>
      <c r="L12" s="88"/>
      <c r="M12" s="89">
        <f t="shared" si="0"/>
        <v>0</v>
      </c>
      <c r="N12" s="90">
        <f t="shared" si="1"/>
        <v>0</v>
      </c>
      <c r="O12" s="90">
        <f t="shared" ref="O12:O27" si="2">N12/$O$9</f>
        <v>0</v>
      </c>
      <c r="P12" s="91">
        <f t="shared" ref="P12:P27" si="3">O12*(1+$P$9)</f>
        <v>0</v>
      </c>
    </row>
    <row r="13" spans="1:31" ht="15.75" customHeight="1" x14ac:dyDescent="0.25">
      <c r="B13" s="13" t="s">
        <v>1</v>
      </c>
      <c r="D13" s="84"/>
      <c r="E13" s="87"/>
      <c r="F13" s="92"/>
      <c r="G13" s="87"/>
      <c r="H13" s="87"/>
      <c r="I13" s="87"/>
      <c r="J13" s="87"/>
      <c r="K13" s="87"/>
      <c r="L13" s="88"/>
      <c r="M13" s="89">
        <f t="shared" si="0"/>
        <v>0</v>
      </c>
      <c r="N13" s="90">
        <f t="shared" si="1"/>
        <v>0</v>
      </c>
      <c r="O13" s="90">
        <f t="shared" si="2"/>
        <v>0</v>
      </c>
      <c r="P13" s="91">
        <f t="shared" si="3"/>
        <v>0</v>
      </c>
    </row>
    <row r="14" spans="1:31" ht="15.75" customHeight="1" x14ac:dyDescent="0.25">
      <c r="B14" s="13" t="s">
        <v>0</v>
      </c>
      <c r="D14" s="84"/>
      <c r="E14" s="87"/>
      <c r="F14" s="92"/>
      <c r="G14" s="87"/>
      <c r="H14" s="87"/>
      <c r="I14" s="87"/>
      <c r="J14" s="87"/>
      <c r="K14" s="87"/>
      <c r="L14" s="88"/>
      <c r="M14" s="89">
        <f t="shared" si="0"/>
        <v>0</v>
      </c>
      <c r="N14" s="90">
        <f t="shared" si="1"/>
        <v>0</v>
      </c>
      <c r="O14" s="90">
        <f t="shared" si="2"/>
        <v>0</v>
      </c>
      <c r="P14" s="91">
        <f t="shared" si="3"/>
        <v>0</v>
      </c>
    </row>
    <row r="15" spans="1:31" ht="15.75" customHeight="1" x14ac:dyDescent="0.25">
      <c r="B15" s="13" t="s">
        <v>34</v>
      </c>
      <c r="D15" s="84"/>
      <c r="E15" s="87"/>
      <c r="F15" s="92"/>
      <c r="G15" s="87"/>
      <c r="H15" s="87"/>
      <c r="I15" s="87"/>
      <c r="J15" s="87"/>
      <c r="K15" s="87"/>
      <c r="L15" s="88"/>
      <c r="M15" s="89">
        <f t="shared" si="0"/>
        <v>0</v>
      </c>
      <c r="N15" s="90">
        <f t="shared" si="1"/>
        <v>0</v>
      </c>
      <c r="O15" s="90">
        <f t="shared" si="2"/>
        <v>0</v>
      </c>
      <c r="P15" s="91">
        <f t="shared" si="3"/>
        <v>0</v>
      </c>
    </row>
    <row r="16" spans="1:31" ht="15.75" customHeight="1" x14ac:dyDescent="0.25">
      <c r="B16" s="13" t="s">
        <v>35</v>
      </c>
      <c r="D16" s="84"/>
      <c r="E16" s="87"/>
      <c r="F16" s="92"/>
      <c r="G16" s="87"/>
      <c r="H16" s="87"/>
      <c r="I16" s="87"/>
      <c r="J16" s="87"/>
      <c r="K16" s="87"/>
      <c r="L16" s="88"/>
      <c r="M16" s="89">
        <f t="shared" si="0"/>
        <v>0</v>
      </c>
      <c r="N16" s="90">
        <f t="shared" si="1"/>
        <v>0</v>
      </c>
      <c r="O16" s="90">
        <f t="shared" si="2"/>
        <v>0</v>
      </c>
      <c r="P16" s="91">
        <f t="shared" si="3"/>
        <v>0</v>
      </c>
    </row>
    <row r="17" spans="2:17" ht="31.5" customHeight="1" x14ac:dyDescent="0.25">
      <c r="B17" s="13" t="s">
        <v>36</v>
      </c>
      <c r="D17" s="84"/>
      <c r="E17" s="87"/>
      <c r="F17" s="92"/>
      <c r="G17" s="87"/>
      <c r="H17" s="87"/>
      <c r="I17" s="87"/>
      <c r="J17" s="87"/>
      <c r="K17" s="87"/>
      <c r="L17" s="88"/>
      <c r="M17" s="89">
        <f t="shared" si="0"/>
        <v>0</v>
      </c>
      <c r="N17" s="90">
        <f t="shared" si="1"/>
        <v>0</v>
      </c>
      <c r="O17" s="90">
        <f t="shared" si="2"/>
        <v>0</v>
      </c>
      <c r="P17" s="91">
        <f t="shared" si="3"/>
        <v>0</v>
      </c>
    </row>
    <row r="18" spans="2:17" ht="15.75" customHeight="1" x14ac:dyDescent="0.25">
      <c r="B18" s="13" t="s">
        <v>37</v>
      </c>
      <c r="D18" s="84"/>
      <c r="E18" s="87"/>
      <c r="F18" s="92"/>
      <c r="G18" s="87"/>
      <c r="H18" s="87"/>
      <c r="I18" s="87"/>
      <c r="J18" s="87"/>
      <c r="K18" s="87"/>
      <c r="L18" s="88"/>
      <c r="M18" s="89">
        <f t="shared" si="0"/>
        <v>0</v>
      </c>
      <c r="N18" s="90">
        <f t="shared" si="1"/>
        <v>0</v>
      </c>
      <c r="O18" s="90">
        <f t="shared" si="2"/>
        <v>0</v>
      </c>
      <c r="P18" s="91">
        <f t="shared" si="3"/>
        <v>0</v>
      </c>
    </row>
    <row r="19" spans="2:17" ht="47.25" customHeight="1" x14ac:dyDescent="0.25">
      <c r="B19" s="13" t="s">
        <v>38</v>
      </c>
      <c r="D19" s="84"/>
      <c r="E19" s="87"/>
      <c r="F19" s="92"/>
      <c r="G19" s="87"/>
      <c r="H19" s="87"/>
      <c r="I19" s="87"/>
      <c r="J19" s="87"/>
      <c r="K19" s="87"/>
      <c r="L19" s="88"/>
      <c r="M19" s="89">
        <f t="shared" si="0"/>
        <v>0</v>
      </c>
      <c r="N19" s="90">
        <f t="shared" si="1"/>
        <v>0</v>
      </c>
      <c r="O19" s="90">
        <f t="shared" si="2"/>
        <v>0</v>
      </c>
      <c r="P19" s="91">
        <f t="shared" si="3"/>
        <v>0</v>
      </c>
    </row>
    <row r="20" spans="2:17" ht="15.75" customHeight="1" x14ac:dyDescent="0.25">
      <c r="B20" s="13" t="s">
        <v>39</v>
      </c>
      <c r="D20" s="84"/>
      <c r="E20" s="87"/>
      <c r="F20" s="92"/>
      <c r="G20" s="87"/>
      <c r="H20" s="87"/>
      <c r="I20" s="87"/>
      <c r="J20" s="87"/>
      <c r="K20" s="87"/>
      <c r="L20" s="88"/>
      <c r="M20" s="89">
        <f t="shared" si="0"/>
        <v>0</v>
      </c>
      <c r="N20" s="90">
        <f>(SUMPRODUCT($E$9:$L$9,E20:L20))*$N$9*D20</f>
        <v>0</v>
      </c>
      <c r="O20" s="90">
        <f t="shared" si="2"/>
        <v>0</v>
      </c>
      <c r="P20" s="91">
        <f t="shared" si="3"/>
        <v>0</v>
      </c>
    </row>
    <row r="21" spans="2:17" ht="15.75" customHeight="1" x14ac:dyDescent="0.25">
      <c r="B21" s="13" t="s">
        <v>3</v>
      </c>
      <c r="D21" s="84"/>
      <c r="E21" s="87"/>
      <c r="F21" s="92"/>
      <c r="G21" s="87"/>
      <c r="H21" s="87"/>
      <c r="I21" s="87"/>
      <c r="J21" s="87"/>
      <c r="K21" s="87"/>
      <c r="L21" s="88"/>
      <c r="M21" s="89">
        <f t="shared" si="0"/>
        <v>0</v>
      </c>
      <c r="N21" s="90">
        <f t="shared" si="1"/>
        <v>0</v>
      </c>
      <c r="O21" s="90">
        <f t="shared" si="2"/>
        <v>0</v>
      </c>
      <c r="P21" s="91">
        <f t="shared" si="3"/>
        <v>0</v>
      </c>
    </row>
    <row r="22" spans="2:17" ht="31.5" customHeight="1" x14ac:dyDescent="0.25">
      <c r="B22" s="13" t="s">
        <v>40</v>
      </c>
      <c r="D22" s="84"/>
      <c r="E22" s="87"/>
      <c r="F22" s="92"/>
      <c r="G22" s="87"/>
      <c r="H22" s="87"/>
      <c r="I22" s="87"/>
      <c r="J22" s="87"/>
      <c r="K22" s="87"/>
      <c r="L22" s="88"/>
      <c r="M22" s="89">
        <f t="shared" si="0"/>
        <v>0</v>
      </c>
      <c r="N22" s="90">
        <f t="shared" si="1"/>
        <v>0</v>
      </c>
      <c r="O22" s="90">
        <f t="shared" si="2"/>
        <v>0</v>
      </c>
      <c r="P22" s="91">
        <f t="shared" si="3"/>
        <v>0</v>
      </c>
    </row>
    <row r="23" spans="2:17" ht="15.75" customHeight="1" x14ac:dyDescent="0.25">
      <c r="B23" s="13" t="s">
        <v>2</v>
      </c>
      <c r="D23" s="84"/>
      <c r="E23" s="87"/>
      <c r="F23" s="92"/>
      <c r="G23" s="87"/>
      <c r="H23" s="87"/>
      <c r="I23" s="87"/>
      <c r="J23" s="87"/>
      <c r="K23" s="87"/>
      <c r="L23" s="88"/>
      <c r="M23" s="89">
        <f t="shared" si="0"/>
        <v>0</v>
      </c>
      <c r="N23" s="90">
        <f t="shared" si="1"/>
        <v>0</v>
      </c>
      <c r="O23" s="90">
        <f t="shared" si="2"/>
        <v>0</v>
      </c>
      <c r="P23" s="91">
        <f t="shared" si="3"/>
        <v>0</v>
      </c>
    </row>
    <row r="24" spans="2:17" ht="15.75" customHeight="1" x14ac:dyDescent="0.25">
      <c r="B24" s="13" t="s">
        <v>41</v>
      </c>
      <c r="D24" s="84"/>
      <c r="E24" s="87"/>
      <c r="F24" s="92"/>
      <c r="G24" s="87"/>
      <c r="H24" s="87"/>
      <c r="I24" s="87"/>
      <c r="J24" s="87"/>
      <c r="K24" s="87"/>
      <c r="L24" s="88"/>
      <c r="M24" s="89">
        <f t="shared" si="0"/>
        <v>0</v>
      </c>
      <c r="N24" s="90">
        <f t="shared" si="1"/>
        <v>0</v>
      </c>
      <c r="O24" s="90">
        <f t="shared" si="2"/>
        <v>0</v>
      </c>
      <c r="P24" s="91">
        <f t="shared" si="3"/>
        <v>0</v>
      </c>
    </row>
    <row r="25" spans="2:17" ht="15.75" customHeight="1" x14ac:dyDescent="0.25">
      <c r="B25" s="13" t="s">
        <v>42</v>
      </c>
      <c r="D25" s="84"/>
      <c r="E25" s="87"/>
      <c r="F25" s="92"/>
      <c r="G25" s="87"/>
      <c r="H25" s="87"/>
      <c r="I25" s="87"/>
      <c r="J25" s="87"/>
      <c r="K25" s="87"/>
      <c r="L25" s="88"/>
      <c r="M25" s="89">
        <f t="shared" si="0"/>
        <v>0</v>
      </c>
      <c r="N25" s="90">
        <f t="shared" si="1"/>
        <v>0</v>
      </c>
      <c r="O25" s="90">
        <f t="shared" si="2"/>
        <v>0</v>
      </c>
      <c r="P25" s="91">
        <f t="shared" si="3"/>
        <v>0</v>
      </c>
    </row>
    <row r="26" spans="2:17" ht="15.75" customHeight="1" x14ac:dyDescent="0.25">
      <c r="B26" s="13" t="s">
        <v>43</v>
      </c>
      <c r="D26" s="84"/>
      <c r="E26" s="87"/>
      <c r="F26" s="92"/>
      <c r="G26" s="87"/>
      <c r="H26" s="87"/>
      <c r="I26" s="87"/>
      <c r="J26" s="87"/>
      <c r="K26" s="87"/>
      <c r="L26" s="88"/>
      <c r="M26" s="89">
        <f t="shared" si="0"/>
        <v>0</v>
      </c>
      <c r="N26" s="90">
        <f t="shared" si="1"/>
        <v>0</v>
      </c>
      <c r="O26" s="90">
        <f t="shared" si="2"/>
        <v>0</v>
      </c>
      <c r="P26" s="91">
        <f t="shared" si="3"/>
        <v>0</v>
      </c>
    </row>
    <row r="27" spans="2:17" ht="15.75" customHeight="1" thickBot="1" x14ac:dyDescent="0.3">
      <c r="B27" s="103" t="s">
        <v>44</v>
      </c>
      <c r="D27" s="93"/>
      <c r="E27" s="94"/>
      <c r="F27" s="94"/>
      <c r="G27" s="95"/>
      <c r="H27" s="95"/>
      <c r="I27" s="95"/>
      <c r="J27" s="95"/>
      <c r="K27" s="95"/>
      <c r="L27" s="96" t="s">
        <v>212</v>
      </c>
      <c r="M27" s="97">
        <f t="shared" si="0"/>
        <v>0</v>
      </c>
      <c r="N27" s="98">
        <f t="shared" si="1"/>
        <v>0</v>
      </c>
      <c r="O27" s="98">
        <f t="shared" si="2"/>
        <v>0</v>
      </c>
      <c r="P27" s="99">
        <f t="shared" si="3"/>
        <v>0</v>
      </c>
    </row>
    <row r="28" spans="2:17" ht="15.75" customHeight="1" x14ac:dyDescent="0.25">
      <c r="B28" s="104" t="s">
        <v>182</v>
      </c>
      <c r="D28" s="100">
        <f>SUM(D11:D27)</f>
        <v>0</v>
      </c>
      <c r="M28" s="8"/>
      <c r="N28" s="100">
        <f>SUM(N11:N27)</f>
        <v>0</v>
      </c>
      <c r="O28" s="101">
        <f>N28/$O$9</f>
        <v>0</v>
      </c>
      <c r="P28" s="101">
        <f>O28*(1+$P$9)</f>
        <v>0</v>
      </c>
      <c r="Q28" s="105"/>
    </row>
    <row r="29" spans="2:17" ht="15" customHeight="1" x14ac:dyDescent="0.25">
      <c r="M29" s="8"/>
      <c r="N29" s="8" t="e">
        <f>N28/D28</f>
        <v>#DIV/0!</v>
      </c>
      <c r="O29" s="8" t="e">
        <f>N29/$O$9</f>
        <v>#DIV/0!</v>
      </c>
      <c r="P29" s="8" t="e">
        <f>O29*(1+$P$9)</f>
        <v>#DIV/0!</v>
      </c>
    </row>
  </sheetData>
  <mergeCells count="4">
    <mergeCell ref="B8:B9"/>
    <mergeCell ref="D8:D9"/>
    <mergeCell ref="E8:L8"/>
    <mergeCell ref="M8:M9"/>
  </mergeCells>
  <conditionalFormatting sqref="C4">
    <cfRule type="containsText" dxfId="49" priority="1" operator="containsText" text="NOT OK">
      <formula>NOT(ISERROR(SEARCH("NOT OK",C4)))</formula>
    </cfRule>
    <cfRule type="containsText" dxfId="48" priority="2" operator="containsText" text="OK">
      <formula>NOT(ISERROR(SEARCH("OK",C4)))</formula>
    </cfRule>
  </conditionalFormatting>
  <conditionalFormatting sqref="F5:G5">
    <cfRule type="containsText" dxfId="47" priority="3" operator="containsText" text="NOT OK">
      <formula>NOT(ISERROR(SEARCH("NOT OK",F5)))</formula>
    </cfRule>
    <cfRule type="containsText" dxfId="46" priority="4" operator="containsText" text="OK">
      <formula>NOT(ISERROR(SEARCH("OK",F5)))</formula>
    </cfRule>
  </conditionalFormatting>
  <pageMargins left="0.7" right="0.7" top="0.75" bottom="0.75" header="0.3" footer="0.3"/>
  <cellWatches>
    <cellWatch r="B8"/>
  </cellWatch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A295-22BE-49CE-A1ED-996DB2D19E86}">
  <sheetPr codeName="Sheet11">
    <tabColor theme="5" tint="0.39997558519241921"/>
  </sheetPr>
  <dimension ref="A1:Z29"/>
  <sheetViews>
    <sheetView topLeftCell="C1" zoomScale="85" zoomScaleNormal="85" workbookViewId="0">
      <selection activeCell="B11" sqref="B11:B23"/>
    </sheetView>
  </sheetViews>
  <sheetFormatPr defaultColWidth="9.28515625" defaultRowHeight="15" customHeight="1" x14ac:dyDescent="0.25"/>
  <cols>
    <col min="2" max="2" width="37.42578125" customWidth="1"/>
    <col min="3" max="3" width="3.42578125" customWidth="1"/>
    <col min="4" max="4" width="15.28515625" customWidth="1"/>
    <col min="5" max="6" width="19" customWidth="1"/>
    <col min="7" max="7" width="15.7109375" customWidth="1"/>
    <col min="8" max="9" width="16.42578125" customWidth="1"/>
    <col min="10" max="10" width="14" customWidth="1"/>
    <col min="11" max="11" width="17" customWidth="1"/>
    <col min="12" max="13" width="18" style="112" customWidth="1"/>
    <col min="14" max="14" width="21" customWidth="1"/>
    <col min="15" max="15" width="18.7109375" style="107" customWidth="1"/>
    <col min="16" max="16" width="19.140625" customWidth="1"/>
    <col min="17" max="17" width="17.5703125" style="107" customWidth="1"/>
    <col min="18" max="18" width="19.28515625" customWidth="1"/>
    <col min="19" max="19" width="22.7109375" style="107" customWidth="1"/>
    <col min="20" max="20" width="20.5703125" customWidth="1"/>
  </cols>
  <sheetData>
    <row r="1" spans="1:26" s="20" customFormat="1" ht="18" x14ac:dyDescent="0.25">
      <c r="A1" s="37" t="s">
        <v>252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26" s="23" customFormat="1" x14ac:dyDescent="0.25">
      <c r="A2" s="22" t="s">
        <v>242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  <c r="S2"/>
    </row>
    <row r="3" spans="1:26" s="23" customFormat="1" ht="11.25" x14ac:dyDescent="0.2">
      <c r="A3" s="22"/>
      <c r="C3" s="24"/>
      <c r="D3" s="24"/>
    </row>
    <row r="4" spans="1:26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108"/>
      <c r="M4" s="108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spans="1:26" s="22" customFormat="1" ht="11.25" x14ac:dyDescent="0.2">
      <c r="E5" s="29"/>
      <c r="F5" s="29"/>
      <c r="G5" s="24"/>
      <c r="H5" s="31"/>
      <c r="I5" s="31"/>
      <c r="L5" s="109"/>
      <c r="M5" s="109"/>
    </row>
    <row r="6" spans="1:26" s="34" customFormat="1" x14ac:dyDescent="0.25">
      <c r="A6" s="32"/>
      <c r="B6" s="33" t="s">
        <v>251</v>
      </c>
      <c r="C6" s="33"/>
      <c r="D6" s="33"/>
      <c r="E6" s="33"/>
      <c r="F6" s="33"/>
      <c r="G6" s="33"/>
      <c r="H6" s="33"/>
      <c r="I6" s="33"/>
      <c r="J6" s="33"/>
      <c r="K6" s="33"/>
      <c r="L6" s="110"/>
      <c r="M6" s="110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5" customHeight="1" thickBot="1" x14ac:dyDescent="0.3">
      <c r="L7" s="111"/>
      <c r="M7" s="111"/>
      <c r="O7"/>
      <c r="Q7"/>
      <c r="S7"/>
    </row>
    <row r="8" spans="1:26" ht="15.75" customHeight="1" thickBot="1" x14ac:dyDescent="0.3">
      <c r="B8" s="140" t="s">
        <v>143</v>
      </c>
      <c r="D8" s="138" t="s">
        <v>233</v>
      </c>
      <c r="E8" s="147" t="s">
        <v>228</v>
      </c>
      <c r="F8" s="149" t="s">
        <v>200</v>
      </c>
      <c r="G8" s="150"/>
      <c r="H8" s="150"/>
      <c r="I8" s="150"/>
      <c r="J8" s="151"/>
      <c r="K8" s="149" t="s">
        <v>201</v>
      </c>
      <c r="L8" s="150"/>
      <c r="M8" s="151"/>
      <c r="N8" s="149" t="s">
        <v>199</v>
      </c>
      <c r="O8" s="150"/>
      <c r="P8" s="150"/>
      <c r="Q8" s="151"/>
      <c r="R8" s="149" t="s">
        <v>198</v>
      </c>
      <c r="S8" s="150"/>
      <c r="T8" s="151"/>
    </row>
    <row r="9" spans="1:26" ht="32.25" customHeight="1" thickBot="1" x14ac:dyDescent="0.3">
      <c r="B9" s="141"/>
      <c r="D9" s="139"/>
      <c r="E9" s="148"/>
      <c r="F9" s="74" t="s">
        <v>224</v>
      </c>
      <c r="G9" s="74" t="s">
        <v>223</v>
      </c>
      <c r="H9" s="74" t="s">
        <v>214</v>
      </c>
      <c r="I9" s="74" t="s">
        <v>240</v>
      </c>
      <c r="J9" s="60" t="s">
        <v>227</v>
      </c>
      <c r="K9" s="60" t="s">
        <v>230</v>
      </c>
      <c r="L9" s="74" t="s">
        <v>229</v>
      </c>
      <c r="M9" s="74" t="s">
        <v>241</v>
      </c>
      <c r="N9" s="74" t="s">
        <v>231</v>
      </c>
      <c r="O9" s="74" t="s">
        <v>196</v>
      </c>
      <c r="P9" s="60" t="s">
        <v>197</v>
      </c>
      <c r="Q9" s="74" t="s">
        <v>202</v>
      </c>
      <c r="R9" s="74" t="s">
        <v>239</v>
      </c>
      <c r="S9" s="74" t="s">
        <v>237</v>
      </c>
      <c r="T9" s="74" t="s">
        <v>238</v>
      </c>
    </row>
    <row r="10" spans="1:26" ht="15.75" customHeight="1" thickBot="1" x14ac:dyDescent="0.3">
      <c r="B10" s="69" t="s">
        <v>245</v>
      </c>
      <c r="D10" s="121">
        <v>175000</v>
      </c>
      <c r="E10" s="120">
        <f>G10*F10*H10*LOG(1+J10,2)*$I10</f>
        <v>1578.8591218462516</v>
      </c>
      <c r="F10" s="44">
        <v>100</v>
      </c>
      <c r="G10">
        <v>3</v>
      </c>
      <c r="H10">
        <v>8</v>
      </c>
      <c r="I10">
        <v>0.75</v>
      </c>
      <c r="J10" s="132">
        <f>10^((K10-L10-$M10)/10)</f>
        <v>0.8367355906264754</v>
      </c>
      <c r="K10" s="120">
        <f t="shared" ref="K10" si="0">N10+O10-P10-Q10</f>
        <v>-79.774117578650674</v>
      </c>
      <c r="L10">
        <v>-87</v>
      </c>
      <c r="M10">
        <v>8</v>
      </c>
      <c r="N10" s="44">
        <v>43</v>
      </c>
      <c r="O10">
        <v>24</v>
      </c>
      <c r="P10" s="120">
        <f t="shared" ref="P10" si="1">MAX(13.54+39.08*LOG10(T10)+20*LOG10(R10)-0.6*(S10-1.5),28+22*LOG10(T10)+20*LOG10(R10))</f>
        <v>123.77411757865067</v>
      </c>
      <c r="Q10" s="133">
        <v>23</v>
      </c>
      <c r="R10">
        <v>3.5</v>
      </c>
      <c r="S10">
        <v>25</v>
      </c>
      <c r="T10">
        <v>800</v>
      </c>
    </row>
    <row r="11" spans="1:26" ht="15.75" customHeight="1" thickBot="1" x14ac:dyDescent="0.3">
      <c r="B11" s="69" t="s">
        <v>245</v>
      </c>
      <c r="D11" s="121">
        <v>175000</v>
      </c>
      <c r="E11" s="120">
        <f t="shared" ref="E11:E21" si="2">G11*F11*H11*LOG(1+J11,2)*$I11</f>
        <v>1578.8591218462516</v>
      </c>
      <c r="F11" s="44">
        <v>100</v>
      </c>
      <c r="G11">
        <v>3</v>
      </c>
      <c r="H11">
        <v>8</v>
      </c>
      <c r="I11">
        <v>0.75</v>
      </c>
      <c r="J11" s="132">
        <f t="shared" ref="J11:J21" si="3">10^((K11-L11-$M11)/10)</f>
        <v>0.8367355906264754</v>
      </c>
      <c r="K11" s="120">
        <f t="shared" ref="K11:K21" si="4">N11+O11-P11-Q11</f>
        <v>-79.774117578650674</v>
      </c>
      <c r="L11">
        <v>-87</v>
      </c>
      <c r="M11">
        <v>8</v>
      </c>
      <c r="N11" s="44">
        <v>43</v>
      </c>
      <c r="O11">
        <v>24</v>
      </c>
      <c r="P11" s="120">
        <f t="shared" ref="P11:P21" si="5">MAX(13.54+39.08*LOG10(T11)+20*LOG10(R11)-0.6*(S11-1.5),28+22*LOG10(T11)+20*LOG10(R11))</f>
        <v>123.77411757865067</v>
      </c>
      <c r="Q11" s="133">
        <v>23</v>
      </c>
      <c r="R11">
        <v>3.5</v>
      </c>
      <c r="S11">
        <v>25</v>
      </c>
      <c r="T11">
        <v>800</v>
      </c>
    </row>
    <row r="12" spans="1:26" ht="15.75" customHeight="1" thickBot="1" x14ac:dyDescent="0.3">
      <c r="B12" s="69" t="s">
        <v>169</v>
      </c>
      <c r="D12" s="121">
        <v>145000</v>
      </c>
      <c r="E12" s="120">
        <f t="shared" si="2"/>
        <v>1052.5727478975009</v>
      </c>
      <c r="F12" s="44">
        <v>100</v>
      </c>
      <c r="G12">
        <v>2</v>
      </c>
      <c r="H12">
        <v>8</v>
      </c>
      <c r="I12">
        <v>0.75</v>
      </c>
      <c r="J12" s="132">
        <f t="shared" si="3"/>
        <v>0.8367355906264754</v>
      </c>
      <c r="K12" s="120">
        <f t="shared" si="4"/>
        <v>-79.774117578650674</v>
      </c>
      <c r="L12">
        <v>-87</v>
      </c>
      <c r="M12">
        <v>8</v>
      </c>
      <c r="N12" s="44">
        <v>43</v>
      </c>
      <c r="O12">
        <v>24</v>
      </c>
      <c r="P12" s="120">
        <f t="shared" si="5"/>
        <v>123.77411757865067</v>
      </c>
      <c r="Q12" s="133">
        <v>23</v>
      </c>
      <c r="R12">
        <v>3.5</v>
      </c>
      <c r="S12">
        <v>25</v>
      </c>
      <c r="T12">
        <v>800</v>
      </c>
    </row>
    <row r="13" spans="1:26" ht="15.75" customHeight="1" thickBot="1" x14ac:dyDescent="0.3">
      <c r="B13" s="69" t="s">
        <v>246</v>
      </c>
      <c r="D13" s="121">
        <v>145000</v>
      </c>
      <c r="E13" s="120">
        <f t="shared" si="2"/>
        <v>1052.5727478975009</v>
      </c>
      <c r="F13" s="44">
        <v>100</v>
      </c>
      <c r="G13">
        <v>2</v>
      </c>
      <c r="H13">
        <v>8</v>
      </c>
      <c r="I13">
        <v>0.75</v>
      </c>
      <c r="J13" s="132">
        <f t="shared" si="3"/>
        <v>0.8367355906264754</v>
      </c>
      <c r="K13" s="120">
        <f t="shared" si="4"/>
        <v>-79.774117578650674</v>
      </c>
      <c r="L13">
        <v>-87</v>
      </c>
      <c r="M13">
        <v>8</v>
      </c>
      <c r="N13" s="44">
        <v>43</v>
      </c>
      <c r="O13">
        <v>24</v>
      </c>
      <c r="P13" s="120">
        <f t="shared" si="5"/>
        <v>123.77411757865067</v>
      </c>
      <c r="Q13" s="133">
        <v>23</v>
      </c>
      <c r="R13">
        <v>3.5</v>
      </c>
      <c r="S13">
        <v>25</v>
      </c>
      <c r="T13">
        <v>800</v>
      </c>
    </row>
    <row r="14" spans="1:26" ht="15.75" customHeight="1" thickBot="1" x14ac:dyDescent="0.3">
      <c r="B14" s="69" t="s">
        <v>170</v>
      </c>
      <c r="D14" s="121">
        <v>100000</v>
      </c>
      <c r="E14" s="120">
        <f t="shared" si="2"/>
        <v>526.28637394875045</v>
      </c>
      <c r="F14" s="44">
        <v>100</v>
      </c>
      <c r="G14">
        <v>1</v>
      </c>
      <c r="H14">
        <v>8</v>
      </c>
      <c r="I14">
        <v>0.75</v>
      </c>
      <c r="J14" s="132">
        <f t="shared" si="3"/>
        <v>0.8367355906264754</v>
      </c>
      <c r="K14" s="120">
        <f t="shared" si="4"/>
        <v>-79.774117578650674</v>
      </c>
      <c r="L14">
        <v>-87</v>
      </c>
      <c r="M14">
        <v>8</v>
      </c>
      <c r="N14" s="44">
        <v>43</v>
      </c>
      <c r="O14">
        <v>24</v>
      </c>
      <c r="P14" s="120">
        <f>MAX(13.54+39.08*LOG10(T14)+20*LOG10(R14)-0.6*(S14-1.5),28+22*LOG10(T14)+20*LOG10(R14))</f>
        <v>123.77411757865067</v>
      </c>
      <c r="Q14" s="133">
        <v>23</v>
      </c>
      <c r="R14">
        <v>3.5</v>
      </c>
      <c r="S14">
        <v>25</v>
      </c>
      <c r="T14">
        <v>800</v>
      </c>
    </row>
    <row r="15" spans="1:26" ht="15.75" customHeight="1" thickBot="1" x14ac:dyDescent="0.3">
      <c r="B15" s="69" t="s">
        <v>247</v>
      </c>
      <c r="D15" s="121">
        <v>100000</v>
      </c>
      <c r="E15" s="120">
        <f t="shared" si="2"/>
        <v>526.28637394875045</v>
      </c>
      <c r="F15" s="44">
        <v>100</v>
      </c>
      <c r="G15">
        <v>1</v>
      </c>
      <c r="H15">
        <v>8</v>
      </c>
      <c r="I15">
        <v>0.75</v>
      </c>
      <c r="J15" s="132">
        <f t="shared" si="3"/>
        <v>0.8367355906264754</v>
      </c>
      <c r="K15" s="120">
        <f t="shared" si="4"/>
        <v>-79.774117578650674</v>
      </c>
      <c r="L15">
        <v>-87</v>
      </c>
      <c r="M15">
        <v>8</v>
      </c>
      <c r="N15" s="44">
        <v>43</v>
      </c>
      <c r="O15">
        <v>24</v>
      </c>
      <c r="P15" s="120">
        <f t="shared" si="5"/>
        <v>123.77411757865067</v>
      </c>
      <c r="Q15" s="133">
        <v>23</v>
      </c>
      <c r="R15">
        <v>3.5</v>
      </c>
      <c r="S15">
        <v>25</v>
      </c>
      <c r="T15">
        <v>800</v>
      </c>
    </row>
    <row r="16" spans="1:26" ht="15.75" customHeight="1" thickBot="1" x14ac:dyDescent="0.3">
      <c r="B16" s="69" t="s">
        <v>171</v>
      </c>
      <c r="D16" s="121">
        <v>95000</v>
      </c>
      <c r="E16" s="120">
        <f t="shared" si="2"/>
        <v>254.55962018376067</v>
      </c>
      <c r="F16" s="44">
        <v>20</v>
      </c>
      <c r="G16">
        <v>3</v>
      </c>
      <c r="H16">
        <v>4</v>
      </c>
      <c r="I16">
        <v>0.75</v>
      </c>
      <c r="J16" s="132">
        <f t="shared" si="3"/>
        <v>1.6651562423306352</v>
      </c>
      <c r="K16" s="120">
        <f t="shared" si="4"/>
        <v>-83.785450102066136</v>
      </c>
      <c r="L16">
        <v>-94</v>
      </c>
      <c r="M16">
        <v>8</v>
      </c>
      <c r="N16" s="44">
        <v>40</v>
      </c>
      <c r="O16">
        <v>18</v>
      </c>
      <c r="P16" s="120">
        <f t="shared" si="5"/>
        <v>118.78545010206614</v>
      </c>
      <c r="Q16" s="133">
        <v>23</v>
      </c>
      <c r="R16">
        <v>1.8</v>
      </c>
      <c r="S16">
        <v>30</v>
      </c>
      <c r="T16">
        <v>1000</v>
      </c>
    </row>
    <row r="17" spans="2:20" ht="15.75" customHeight="1" thickBot="1" x14ac:dyDescent="0.3">
      <c r="B17" s="69" t="s">
        <v>248</v>
      </c>
      <c r="D17" s="121">
        <v>95000</v>
      </c>
      <c r="E17" s="120">
        <f t="shared" si="2"/>
        <v>254.55962018376067</v>
      </c>
      <c r="F17" s="44">
        <v>20</v>
      </c>
      <c r="G17">
        <v>3</v>
      </c>
      <c r="H17">
        <v>4</v>
      </c>
      <c r="I17">
        <v>0.75</v>
      </c>
      <c r="J17" s="132">
        <f t="shared" si="3"/>
        <v>1.6651562423306352</v>
      </c>
      <c r="K17" s="120">
        <f t="shared" si="4"/>
        <v>-83.785450102066136</v>
      </c>
      <c r="L17">
        <v>-94</v>
      </c>
      <c r="M17">
        <v>8</v>
      </c>
      <c r="N17" s="44">
        <v>40</v>
      </c>
      <c r="O17">
        <v>18</v>
      </c>
      <c r="P17" s="120">
        <f t="shared" si="5"/>
        <v>118.78545010206614</v>
      </c>
      <c r="Q17" s="133">
        <v>23</v>
      </c>
      <c r="R17">
        <v>1.8</v>
      </c>
      <c r="S17">
        <v>30</v>
      </c>
      <c r="T17">
        <v>1000</v>
      </c>
    </row>
    <row r="18" spans="2:20" ht="15.75" customHeight="1" thickBot="1" x14ac:dyDescent="0.3">
      <c r="B18" s="69" t="s">
        <v>172</v>
      </c>
      <c r="D18" s="121">
        <v>80000</v>
      </c>
      <c r="E18" s="120">
        <f t="shared" si="2"/>
        <v>169.70641345584045</v>
      </c>
      <c r="F18" s="44">
        <v>20</v>
      </c>
      <c r="G18">
        <v>2</v>
      </c>
      <c r="H18">
        <v>4</v>
      </c>
      <c r="I18">
        <v>0.75</v>
      </c>
      <c r="J18" s="132">
        <f t="shared" si="3"/>
        <v>1.6651562423306352</v>
      </c>
      <c r="K18" s="120">
        <f t="shared" si="4"/>
        <v>-83.785450102066136</v>
      </c>
      <c r="L18">
        <v>-94</v>
      </c>
      <c r="M18">
        <v>8</v>
      </c>
      <c r="N18" s="44">
        <v>40</v>
      </c>
      <c r="O18">
        <v>18</v>
      </c>
      <c r="P18" s="120">
        <f t="shared" si="5"/>
        <v>118.78545010206614</v>
      </c>
      <c r="Q18" s="133">
        <v>23</v>
      </c>
      <c r="R18">
        <v>1.8</v>
      </c>
      <c r="S18">
        <v>30</v>
      </c>
      <c r="T18">
        <v>1000</v>
      </c>
    </row>
    <row r="19" spans="2:20" ht="15.75" customHeight="1" thickBot="1" x14ac:dyDescent="0.3">
      <c r="B19" s="69" t="s">
        <v>249</v>
      </c>
      <c r="D19" s="121">
        <v>80000</v>
      </c>
      <c r="E19" s="120">
        <f t="shared" si="2"/>
        <v>169.70641345584045</v>
      </c>
      <c r="F19" s="44">
        <v>20</v>
      </c>
      <c r="G19">
        <v>2</v>
      </c>
      <c r="H19">
        <v>4</v>
      </c>
      <c r="I19">
        <v>0.75</v>
      </c>
      <c r="J19" s="132">
        <f t="shared" si="3"/>
        <v>1.6651562423306352</v>
      </c>
      <c r="K19" s="120">
        <f t="shared" si="4"/>
        <v>-83.785450102066136</v>
      </c>
      <c r="L19">
        <v>-94</v>
      </c>
      <c r="M19">
        <v>8</v>
      </c>
      <c r="N19" s="44">
        <v>40</v>
      </c>
      <c r="O19">
        <v>18</v>
      </c>
      <c r="P19" s="120">
        <f t="shared" si="5"/>
        <v>118.78545010206614</v>
      </c>
      <c r="Q19" s="133">
        <v>23</v>
      </c>
      <c r="R19">
        <v>1.8</v>
      </c>
      <c r="S19">
        <v>30</v>
      </c>
      <c r="T19">
        <v>1000</v>
      </c>
    </row>
    <row r="20" spans="2:20" ht="15.75" customHeight="1" thickBot="1" x14ac:dyDescent="0.3">
      <c r="B20" s="69" t="s">
        <v>173</v>
      </c>
      <c r="D20" s="121">
        <v>60000</v>
      </c>
      <c r="E20" s="120">
        <f t="shared" si="2"/>
        <v>84.853206727920224</v>
      </c>
      <c r="F20" s="44">
        <v>20</v>
      </c>
      <c r="G20">
        <v>1</v>
      </c>
      <c r="H20">
        <v>4</v>
      </c>
      <c r="I20">
        <v>0.75</v>
      </c>
      <c r="J20" s="132">
        <f t="shared" si="3"/>
        <v>1.6651562423306352</v>
      </c>
      <c r="K20" s="120">
        <f t="shared" si="4"/>
        <v>-83.785450102066136</v>
      </c>
      <c r="L20">
        <v>-94</v>
      </c>
      <c r="M20">
        <v>8</v>
      </c>
      <c r="N20" s="44">
        <v>40</v>
      </c>
      <c r="O20">
        <v>18</v>
      </c>
      <c r="P20" s="120">
        <f t="shared" si="5"/>
        <v>118.78545010206614</v>
      </c>
      <c r="Q20" s="133">
        <v>23</v>
      </c>
      <c r="R20">
        <v>1.8</v>
      </c>
      <c r="S20">
        <v>30</v>
      </c>
      <c r="T20">
        <v>1000</v>
      </c>
    </row>
    <row r="21" spans="2:20" ht="15.75" customHeight="1" thickBot="1" x14ac:dyDescent="0.3">
      <c r="B21" s="69" t="s">
        <v>250</v>
      </c>
      <c r="D21" s="121">
        <v>60000</v>
      </c>
      <c r="E21" s="120">
        <f t="shared" si="2"/>
        <v>84.853206727920224</v>
      </c>
      <c r="F21" s="44">
        <v>20</v>
      </c>
      <c r="G21">
        <v>1</v>
      </c>
      <c r="H21">
        <v>4</v>
      </c>
      <c r="I21">
        <v>0.75</v>
      </c>
      <c r="J21" s="132">
        <f t="shared" si="3"/>
        <v>1.6651562423306352</v>
      </c>
      <c r="K21" s="120">
        <f t="shared" si="4"/>
        <v>-83.785450102066136</v>
      </c>
      <c r="L21">
        <v>-94</v>
      </c>
      <c r="M21">
        <v>8</v>
      </c>
      <c r="N21" s="44">
        <v>40</v>
      </c>
      <c r="O21">
        <v>18</v>
      </c>
      <c r="P21" s="120">
        <f t="shared" si="5"/>
        <v>118.78545010206614</v>
      </c>
      <c r="Q21" s="133">
        <v>23</v>
      </c>
      <c r="R21">
        <v>1.8</v>
      </c>
      <c r="S21">
        <v>30</v>
      </c>
      <c r="T21">
        <v>1000</v>
      </c>
    </row>
    <row r="22" spans="2:20" ht="15.75" customHeight="1" thickBot="1" x14ac:dyDescent="0.3">
      <c r="B22" s="69" t="s">
        <v>174</v>
      </c>
      <c r="R22" s="105"/>
    </row>
    <row r="23" spans="2:20" ht="15" customHeight="1" x14ac:dyDescent="0.25">
      <c r="B23" s="116" t="s">
        <v>182</v>
      </c>
      <c r="R23" s="105"/>
    </row>
    <row r="24" spans="2:20" ht="15" customHeight="1" x14ac:dyDescent="0.25">
      <c r="R24" s="105"/>
    </row>
    <row r="25" spans="2:20" ht="15" customHeight="1" x14ac:dyDescent="0.25">
      <c r="R25" s="105"/>
    </row>
    <row r="26" spans="2:20" ht="15" customHeight="1" x14ac:dyDescent="0.25">
      <c r="R26" s="105"/>
    </row>
    <row r="27" spans="2:20" ht="15" customHeight="1" x14ac:dyDescent="0.25">
      <c r="R27" s="105"/>
    </row>
    <row r="28" spans="2:20" ht="15" customHeight="1" x14ac:dyDescent="0.25">
      <c r="R28" s="105"/>
    </row>
    <row r="29" spans="2:20" ht="15" customHeight="1" x14ac:dyDescent="0.25">
      <c r="R29" s="105"/>
    </row>
  </sheetData>
  <mergeCells count="7">
    <mergeCell ref="B8:B9"/>
    <mergeCell ref="E8:E9"/>
    <mergeCell ref="D8:D9"/>
    <mergeCell ref="N8:Q8"/>
    <mergeCell ref="R8:T8"/>
    <mergeCell ref="F8:J8"/>
    <mergeCell ref="K8:M8"/>
  </mergeCells>
  <conditionalFormatting sqref="G5 C4:D4">
    <cfRule type="containsText" dxfId="45" priority="1" operator="containsText" text="NOT OK">
      <formula>NOT(ISERROR(SEARCH("NOT OK",C4)))</formula>
    </cfRule>
    <cfRule type="containsText" dxfId="44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83912-5E92-4869-A8B0-A7BF8C4F863D}">
  <sheetPr codeName="Sheet12">
    <tabColor theme="5" tint="0.39997558519241921"/>
  </sheetPr>
  <dimension ref="A1:AC21"/>
  <sheetViews>
    <sheetView workbookViewId="0">
      <selection activeCell="B9" sqref="B9:B21"/>
    </sheetView>
  </sheetViews>
  <sheetFormatPr defaultRowHeight="15" x14ac:dyDescent="0.25"/>
  <cols>
    <col min="2" max="2" width="37.42578125" customWidth="1"/>
    <col min="3" max="3" width="13.5703125" bestFit="1" customWidth="1"/>
    <col min="4" max="4" width="9.85546875" bestFit="1" customWidth="1"/>
    <col min="5" max="5" width="22.5703125" customWidth="1"/>
    <col min="6" max="6" width="15" bestFit="1" customWidth="1"/>
    <col min="7" max="7" width="8.7109375" bestFit="1" customWidth="1"/>
    <col min="8" max="8" width="13.7109375" bestFit="1" customWidth="1"/>
    <col min="9" max="9" width="10.42578125" bestFit="1" customWidth="1"/>
    <col min="10" max="10" width="13.85546875" bestFit="1" customWidth="1"/>
    <col min="11" max="11" width="9.5703125" bestFit="1" customWidth="1"/>
    <col min="12" max="12" width="12.7109375" bestFit="1" customWidth="1"/>
  </cols>
  <sheetData>
    <row r="1" spans="1:29" s="20" customFormat="1" ht="18" x14ac:dyDescent="0.25">
      <c r="A1" s="37" t="s">
        <v>235</v>
      </c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29" s="23" customFormat="1" x14ac:dyDescent="0.25">
      <c r="A2" s="22" t="s">
        <v>234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29" s="23" customFormat="1" x14ac:dyDescent="0.25">
      <c r="A3" s="22"/>
      <c r="C3" s="24"/>
      <c r="D3" s="24"/>
      <c r="T3" t="e">
        <f>F10*LOG(1+((L10+M10+-(69.55+26.16*LOG10(P10)-13.82*LOG10(Q10)-(3.2*(LOG10(11.75*R10))^2-4.97)+(44.9-6.55*LOG10(Q10))*LOG10(S10))-O10)/K10),2)</f>
        <v>#NUM!</v>
      </c>
    </row>
    <row r="4" spans="1:29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108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29" s="22" customFormat="1" ht="11.25" x14ac:dyDescent="0.2">
      <c r="E5" s="29"/>
      <c r="F5" s="29"/>
      <c r="G5" s="24"/>
      <c r="H5" s="31"/>
      <c r="K5" s="109"/>
    </row>
    <row r="6" spans="1:29" s="34" customFormat="1" x14ac:dyDescent="0.25">
      <c r="A6" s="32"/>
      <c r="B6" s="33" t="s">
        <v>236</v>
      </c>
      <c r="C6" s="33"/>
      <c r="D6" s="33"/>
      <c r="E6" s="33"/>
      <c r="F6" s="33"/>
      <c r="G6" s="33"/>
      <c r="H6" s="33"/>
      <c r="I6" s="33"/>
      <c r="J6" s="33"/>
      <c r="K6" s="110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</row>
    <row r="8" spans="1:29" ht="15.75" thickBot="1" x14ac:dyDescent="0.3">
      <c r="B8" s="118" t="s">
        <v>143</v>
      </c>
      <c r="C8" s="119" t="s">
        <v>10</v>
      </c>
      <c r="D8" s="119" t="s">
        <v>11</v>
      </c>
      <c r="E8" s="119" t="s">
        <v>12</v>
      </c>
      <c r="F8" s="119" t="s">
        <v>13</v>
      </c>
      <c r="G8" s="119" t="s">
        <v>14</v>
      </c>
      <c r="H8" s="119" t="s">
        <v>15</v>
      </c>
      <c r="I8" s="119" t="s">
        <v>16</v>
      </c>
      <c r="J8" s="119" t="s">
        <v>17</v>
      </c>
      <c r="K8" s="119" t="s">
        <v>18</v>
      </c>
      <c r="L8" s="119" t="s">
        <v>19</v>
      </c>
    </row>
    <row r="9" spans="1:29" ht="15.75" customHeight="1" thickBot="1" x14ac:dyDescent="0.3">
      <c r="B9" s="69" t="s">
        <v>245</v>
      </c>
      <c r="C9" s="105">
        <v>316.5</v>
      </c>
      <c r="D9" s="105">
        <v>43</v>
      </c>
      <c r="E9" s="105">
        <v>12</v>
      </c>
      <c r="F9" s="105">
        <v>162.5</v>
      </c>
      <c r="G9" s="105">
        <v>104</v>
      </c>
      <c r="H9" s="105">
        <v>18.5</v>
      </c>
      <c r="I9" s="105">
        <v>161.5</v>
      </c>
      <c r="J9" s="105">
        <v>26.5</v>
      </c>
      <c r="K9" s="105">
        <v>32</v>
      </c>
      <c r="L9" s="105">
        <v>39.5</v>
      </c>
    </row>
    <row r="10" spans="1:29" ht="15.75" customHeight="1" thickBot="1" x14ac:dyDescent="0.3">
      <c r="B10" s="69" t="s">
        <v>169</v>
      </c>
      <c r="C10" s="105">
        <v>316.5</v>
      </c>
      <c r="D10" s="105">
        <v>43</v>
      </c>
      <c r="E10" s="105">
        <v>12</v>
      </c>
      <c r="F10" s="105">
        <v>162.5</v>
      </c>
      <c r="G10" s="105">
        <v>104</v>
      </c>
      <c r="H10" s="105">
        <v>18.5</v>
      </c>
      <c r="I10" s="105">
        <v>161.5</v>
      </c>
      <c r="J10" s="105">
        <v>26.5</v>
      </c>
      <c r="K10" s="105">
        <v>32</v>
      </c>
      <c r="L10" s="105">
        <v>39.5</v>
      </c>
    </row>
    <row r="11" spans="1:29" ht="15.75" customHeight="1" thickBot="1" x14ac:dyDescent="0.3">
      <c r="B11" s="69" t="s">
        <v>246</v>
      </c>
      <c r="C11" s="105">
        <v>316</v>
      </c>
      <c r="D11" s="105">
        <v>44</v>
      </c>
      <c r="E11" s="105">
        <v>15</v>
      </c>
      <c r="F11" s="105">
        <v>91</v>
      </c>
      <c r="G11" s="105">
        <v>82</v>
      </c>
      <c r="H11" s="105">
        <v>30</v>
      </c>
      <c r="I11" s="105">
        <v>154</v>
      </c>
      <c r="J11" s="105">
        <v>45</v>
      </c>
      <c r="K11" s="105">
        <v>26</v>
      </c>
      <c r="L11" s="105">
        <v>26</v>
      </c>
    </row>
    <row r="12" spans="1:29" ht="15.75" customHeight="1" thickBot="1" x14ac:dyDescent="0.3">
      <c r="B12" s="69" t="s">
        <v>170</v>
      </c>
      <c r="C12" s="105">
        <v>316</v>
      </c>
      <c r="D12" s="105">
        <v>44</v>
      </c>
      <c r="E12" s="105">
        <v>15</v>
      </c>
      <c r="F12" s="105">
        <v>91</v>
      </c>
      <c r="G12" s="105">
        <v>82</v>
      </c>
      <c r="H12" s="105">
        <v>30</v>
      </c>
      <c r="I12" s="105">
        <v>154</v>
      </c>
      <c r="J12" s="105">
        <v>45</v>
      </c>
      <c r="K12" s="105">
        <v>26</v>
      </c>
      <c r="L12" s="105">
        <v>26</v>
      </c>
    </row>
    <row r="13" spans="1:29" ht="15.75" customHeight="1" thickBot="1" x14ac:dyDescent="0.3">
      <c r="B13" s="69" t="s">
        <v>247</v>
      </c>
      <c r="C13" s="105">
        <v>350.5</v>
      </c>
      <c r="D13" s="105">
        <v>31</v>
      </c>
      <c r="E13" s="105">
        <v>12</v>
      </c>
      <c r="F13" s="105">
        <v>68</v>
      </c>
      <c r="G13" s="105">
        <v>76</v>
      </c>
      <c r="H13" s="105">
        <v>29</v>
      </c>
      <c r="I13" s="105">
        <v>65.5</v>
      </c>
      <c r="J13" s="105">
        <v>39</v>
      </c>
      <c r="K13" s="105">
        <v>32.5</v>
      </c>
      <c r="L13" s="105">
        <v>35</v>
      </c>
    </row>
    <row r="14" spans="1:29" ht="15.75" customHeight="1" thickBot="1" x14ac:dyDescent="0.3">
      <c r="B14" s="69" t="s">
        <v>171</v>
      </c>
      <c r="C14" s="105">
        <v>350.5</v>
      </c>
      <c r="D14" s="105">
        <v>31</v>
      </c>
      <c r="E14" s="105">
        <v>12</v>
      </c>
      <c r="F14" s="105">
        <v>68</v>
      </c>
      <c r="G14" s="105">
        <v>76</v>
      </c>
      <c r="H14" s="105">
        <v>29</v>
      </c>
      <c r="I14" s="105">
        <v>65.5</v>
      </c>
      <c r="J14" s="105">
        <v>39</v>
      </c>
      <c r="K14" s="105">
        <v>32.5</v>
      </c>
      <c r="L14" s="105">
        <v>35</v>
      </c>
    </row>
    <row r="15" spans="1:29" ht="15.75" customHeight="1" thickBot="1" x14ac:dyDescent="0.3">
      <c r="B15" s="69" t="s">
        <v>248</v>
      </c>
      <c r="C15" s="105">
        <v>340.5</v>
      </c>
      <c r="D15" s="105">
        <v>45</v>
      </c>
      <c r="E15" s="105">
        <v>8.5</v>
      </c>
      <c r="F15" s="105">
        <v>195.5</v>
      </c>
      <c r="G15" s="105">
        <v>114</v>
      </c>
      <c r="H15" s="105">
        <v>31.5</v>
      </c>
      <c r="I15" s="105">
        <v>109</v>
      </c>
      <c r="J15" s="105">
        <v>37.5</v>
      </c>
      <c r="K15" s="105">
        <v>43</v>
      </c>
      <c r="L15" s="105">
        <v>36</v>
      </c>
    </row>
    <row r="16" spans="1:29" ht="15.75" customHeight="1" thickBot="1" x14ac:dyDescent="0.3">
      <c r="B16" s="69" t="s">
        <v>172</v>
      </c>
      <c r="C16" s="105">
        <v>340.5</v>
      </c>
      <c r="D16" s="105">
        <v>45</v>
      </c>
      <c r="E16" s="105">
        <v>8.5</v>
      </c>
      <c r="F16" s="105">
        <v>195.5</v>
      </c>
      <c r="G16" s="105">
        <v>114</v>
      </c>
      <c r="H16" s="105">
        <v>31.5</v>
      </c>
      <c r="I16" s="105">
        <v>109</v>
      </c>
      <c r="J16" s="105">
        <v>37.5</v>
      </c>
      <c r="K16" s="105">
        <v>43</v>
      </c>
      <c r="L16" s="105">
        <v>36</v>
      </c>
    </row>
    <row r="17" spans="2:12" ht="15.75" customHeight="1" thickBot="1" x14ac:dyDescent="0.3">
      <c r="B17" s="69" t="s">
        <v>249</v>
      </c>
      <c r="C17" s="105">
        <v>310.5</v>
      </c>
      <c r="D17" s="105">
        <v>29.5</v>
      </c>
      <c r="E17" s="105">
        <v>5</v>
      </c>
      <c r="F17" s="105">
        <v>186</v>
      </c>
      <c r="G17" s="105">
        <v>91.5</v>
      </c>
      <c r="H17" s="105">
        <v>31</v>
      </c>
      <c r="I17" s="105">
        <v>153.5</v>
      </c>
      <c r="J17" s="105">
        <v>33</v>
      </c>
      <c r="K17" s="105">
        <v>26.5</v>
      </c>
      <c r="L17" s="105">
        <v>35</v>
      </c>
    </row>
    <row r="18" spans="2:12" ht="15.75" customHeight="1" thickBot="1" x14ac:dyDescent="0.3">
      <c r="B18" s="69" t="s">
        <v>173</v>
      </c>
      <c r="C18" s="105">
        <v>310.5</v>
      </c>
      <c r="D18" s="105">
        <v>29.5</v>
      </c>
      <c r="E18" s="105">
        <v>5</v>
      </c>
      <c r="F18" s="105">
        <v>186</v>
      </c>
      <c r="G18" s="105">
        <v>91.5</v>
      </c>
      <c r="H18" s="105">
        <v>31</v>
      </c>
      <c r="I18" s="105">
        <v>153.5</v>
      </c>
      <c r="J18" s="105">
        <v>33</v>
      </c>
      <c r="K18" s="105">
        <v>26.5</v>
      </c>
      <c r="L18" s="105">
        <v>35</v>
      </c>
    </row>
    <row r="19" spans="2:12" ht="15.75" customHeight="1" thickBot="1" x14ac:dyDescent="0.3">
      <c r="B19" s="69" t="s">
        <v>250</v>
      </c>
      <c r="C19" s="105">
        <v>327.5</v>
      </c>
      <c r="D19" s="105">
        <v>48</v>
      </c>
      <c r="E19" s="105">
        <v>9.5</v>
      </c>
      <c r="F19" s="105">
        <v>98.5</v>
      </c>
      <c r="G19" s="105">
        <v>102.5</v>
      </c>
      <c r="H19" s="105">
        <v>20</v>
      </c>
      <c r="I19" s="105">
        <v>127.5</v>
      </c>
      <c r="J19" s="105">
        <v>39</v>
      </c>
      <c r="K19" s="105">
        <v>44</v>
      </c>
      <c r="L19" s="105">
        <v>39.5</v>
      </c>
    </row>
    <row r="20" spans="2:12" ht="15.75" customHeight="1" thickBot="1" x14ac:dyDescent="0.3">
      <c r="B20" s="69" t="s">
        <v>174</v>
      </c>
      <c r="C20" s="105">
        <v>327.5</v>
      </c>
      <c r="D20" s="105">
        <v>48</v>
      </c>
      <c r="E20" s="105">
        <v>9.5</v>
      </c>
      <c r="F20" s="105">
        <v>98.5</v>
      </c>
      <c r="G20" s="105">
        <v>102.5</v>
      </c>
      <c r="H20" s="105">
        <v>20</v>
      </c>
      <c r="I20" s="105">
        <v>127.5</v>
      </c>
      <c r="J20" s="105">
        <v>39</v>
      </c>
      <c r="K20" s="105">
        <v>44</v>
      </c>
      <c r="L20" s="105">
        <v>39.5</v>
      </c>
    </row>
    <row r="21" spans="2:12" ht="15" customHeight="1" x14ac:dyDescent="0.25">
      <c r="B21" s="116" t="s">
        <v>182</v>
      </c>
    </row>
  </sheetData>
  <conditionalFormatting sqref="G5 C4:D4">
    <cfRule type="containsText" dxfId="43" priority="1" operator="containsText" text="NOT OK">
      <formula>NOT(ISERROR(SEARCH("NOT OK",C4)))</formula>
    </cfRule>
    <cfRule type="containsText" dxfId="42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D21D-D9A1-4267-BFC5-F0C29C5F25ED}">
  <sheetPr codeName="Sheet19">
    <tabColor theme="5" tint="-0.249977111117893"/>
  </sheetPr>
  <dimension ref="B6"/>
  <sheetViews>
    <sheetView zoomScaleNormal="100" workbookViewId="0">
      <selection activeCell="Y30" sqref="Y30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9B09-1A30-41AD-9FE2-9A46E28A88E7}">
  <sheetPr codeName="Sheet1">
    <tabColor theme="5" tint="0.39997558519241921"/>
  </sheetPr>
  <dimension ref="A1:AX284"/>
  <sheetViews>
    <sheetView zoomScale="70" zoomScaleNormal="70" workbookViewId="0">
      <selection activeCell="AJ283" sqref="AJ283:AX284"/>
    </sheetView>
  </sheetViews>
  <sheetFormatPr defaultColWidth="9.140625" defaultRowHeight="15" customHeight="1" x14ac:dyDescent="0.25"/>
  <cols>
    <col min="2" max="2" width="60.28515625" customWidth="1"/>
    <col min="3" max="3" width="15" customWidth="1"/>
    <col min="4" max="4" width="18.85546875" customWidth="1"/>
    <col min="5" max="12" width="9.2851562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9" max="19" width="60.28515625" customWidth="1"/>
    <col min="20" max="20" width="15" customWidth="1"/>
    <col min="21" max="21" width="18.85546875" customWidth="1"/>
    <col min="22" max="29" width="9.28515625" customWidth="1"/>
    <col min="30" max="30" width="19.7109375" customWidth="1"/>
    <col min="31" max="31" width="20.85546875" customWidth="1"/>
    <col min="32" max="32" width="17.7109375" customWidth="1"/>
    <col min="33" max="33" width="26.28515625" customWidth="1"/>
    <col min="36" max="36" width="60.28515625" customWidth="1"/>
    <col min="37" max="37" width="15" customWidth="1"/>
    <col min="38" max="38" width="18.85546875" customWidth="1"/>
    <col min="39" max="46" width="9.28515625" customWidth="1"/>
    <col min="47" max="47" width="19.7109375" customWidth="1"/>
    <col min="48" max="48" width="20.85546875" customWidth="1"/>
    <col min="49" max="49" width="17.7109375" customWidth="1"/>
    <col min="50" max="50" width="26.28515625" customWidth="1"/>
    <col min="53" max="53" width="61" customWidth="1"/>
    <col min="54" max="54" width="15" customWidth="1"/>
    <col min="55" max="55" width="18.85546875" customWidth="1"/>
    <col min="56" max="63" width="9.28515625" customWidth="1"/>
    <col min="64" max="64" width="19.7109375" customWidth="1"/>
    <col min="65" max="65" width="20.85546875" customWidth="1"/>
    <col min="66" max="66" width="17.7109375" customWidth="1"/>
    <col min="67" max="67" width="26.28515625" customWidth="1"/>
  </cols>
  <sheetData>
    <row r="1" spans="1:50" s="20" customFormat="1" ht="18" x14ac:dyDescent="0.25">
      <c r="A1" s="37" t="s">
        <v>120</v>
      </c>
      <c r="J1" s="21"/>
    </row>
    <row r="2" spans="1:50" s="23" customFormat="1" ht="11.25" x14ac:dyDescent="0.2">
      <c r="A2" s="22" t="s">
        <v>4</v>
      </c>
      <c r="C2" s="24"/>
      <c r="D2" s="25"/>
      <c r="E2" s="26"/>
      <c r="J2" s="27"/>
    </row>
    <row r="3" spans="1:50" s="23" customFormat="1" ht="11.25" x14ac:dyDescent="0.2">
      <c r="A3" s="22"/>
      <c r="C3" s="24"/>
      <c r="D3" s="25"/>
      <c r="E3" s="26"/>
      <c r="J3" s="27"/>
    </row>
    <row r="4" spans="1:50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50" s="22" customFormat="1" ht="11.25" x14ac:dyDescent="0.2">
      <c r="E5" s="29"/>
      <c r="F5" s="30"/>
      <c r="G5" s="24"/>
      <c r="H5" s="31"/>
    </row>
    <row r="6" spans="1:50" s="34" customFormat="1" x14ac:dyDescent="0.25">
      <c r="A6" s="32"/>
      <c r="B6" s="33" t="s">
        <v>121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8" spans="1:50" ht="15" customHeight="1" x14ac:dyDescent="0.25">
      <c r="C8">
        <v>2023</v>
      </c>
      <c r="T8">
        <v>2025</v>
      </c>
      <c r="AK8">
        <v>2030</v>
      </c>
    </row>
    <row r="9" spans="1:50" ht="20.100000000000001" customHeight="1" x14ac:dyDescent="0.25">
      <c r="C9" s="102" t="s">
        <v>10</v>
      </c>
      <c r="T9" s="102" t="s">
        <v>10</v>
      </c>
      <c r="AK9" s="102" t="s">
        <v>10</v>
      </c>
    </row>
    <row r="10" spans="1:50" ht="15" customHeight="1" thickBot="1" x14ac:dyDescent="0.3"/>
    <row r="11" spans="1:50" ht="55.35" customHeight="1" thickBot="1" x14ac:dyDescent="0.3">
      <c r="B11" s="138" t="s">
        <v>5</v>
      </c>
      <c r="C11" s="8"/>
      <c r="D11" s="140" t="s">
        <v>46</v>
      </c>
      <c r="E11" s="142" t="s">
        <v>25</v>
      </c>
      <c r="F11" s="143"/>
      <c r="G11" s="143"/>
      <c r="H11" s="143"/>
      <c r="I11" s="143"/>
      <c r="J11" s="143"/>
      <c r="K11" s="143"/>
      <c r="L11" s="144"/>
      <c r="M11" s="145" t="s">
        <v>6</v>
      </c>
      <c r="N11" s="9" t="s">
        <v>7</v>
      </c>
      <c r="O11" s="9" t="s">
        <v>8</v>
      </c>
      <c r="P11" s="9" t="s">
        <v>9</v>
      </c>
      <c r="S11" s="138" t="s">
        <v>5</v>
      </c>
      <c r="T11" s="8"/>
      <c r="U11" s="140" t="s">
        <v>46</v>
      </c>
      <c r="V11" s="142" t="s">
        <v>25</v>
      </c>
      <c r="W11" s="143"/>
      <c r="X11" s="143"/>
      <c r="Y11" s="143"/>
      <c r="Z11" s="143"/>
      <c r="AA11" s="143"/>
      <c r="AB11" s="143"/>
      <c r="AC11" s="144"/>
      <c r="AD11" s="145" t="s">
        <v>6</v>
      </c>
      <c r="AE11" s="9" t="s">
        <v>7</v>
      </c>
      <c r="AF11" s="9" t="s">
        <v>8</v>
      </c>
      <c r="AG11" s="9" t="s">
        <v>9</v>
      </c>
      <c r="AJ11" s="138" t="s">
        <v>5</v>
      </c>
      <c r="AK11" s="8"/>
      <c r="AL11" s="140" t="s">
        <v>46</v>
      </c>
      <c r="AM11" s="142" t="s">
        <v>25</v>
      </c>
      <c r="AN11" s="143"/>
      <c r="AO11" s="143"/>
      <c r="AP11" s="143"/>
      <c r="AQ11" s="143"/>
      <c r="AR11" s="143"/>
      <c r="AS11" s="143"/>
      <c r="AT11" s="144"/>
      <c r="AU11" s="145" t="s">
        <v>6</v>
      </c>
      <c r="AV11" s="9" t="s">
        <v>7</v>
      </c>
      <c r="AW11" s="9" t="s">
        <v>8</v>
      </c>
      <c r="AX11" s="9" t="s">
        <v>9</v>
      </c>
    </row>
    <row r="12" spans="1:50" ht="16.5" customHeight="1" thickBot="1" x14ac:dyDescent="0.3">
      <c r="B12" s="139"/>
      <c r="C12" s="8"/>
      <c r="D12" s="141"/>
      <c r="E12" s="10">
        <v>0.5</v>
      </c>
      <c r="F12" s="10">
        <v>1</v>
      </c>
      <c r="G12" s="10">
        <v>2</v>
      </c>
      <c r="H12" s="10">
        <v>5</v>
      </c>
      <c r="I12" s="10">
        <v>10</v>
      </c>
      <c r="J12" s="10">
        <v>50</v>
      </c>
      <c r="K12" s="10">
        <v>100</v>
      </c>
      <c r="L12" s="10">
        <v>1000</v>
      </c>
      <c r="M12" s="146"/>
      <c r="N12" s="59">
        <f>'Network Parameters'!$C$8</f>
        <v>0.2</v>
      </c>
      <c r="O12" s="60">
        <f>'Network Parameters'!$C$9</f>
        <v>60</v>
      </c>
      <c r="P12" s="61">
        <f>'Network Parameters'!$C$10</f>
        <v>0.2</v>
      </c>
      <c r="S12" s="139"/>
      <c r="T12" s="8"/>
      <c r="U12" s="141"/>
      <c r="V12" s="10">
        <v>0.5</v>
      </c>
      <c r="W12" s="10">
        <v>1</v>
      </c>
      <c r="X12" s="10">
        <v>2</v>
      </c>
      <c r="Y12" s="10">
        <v>5</v>
      </c>
      <c r="Z12" s="10">
        <v>10</v>
      </c>
      <c r="AA12" s="10">
        <v>50</v>
      </c>
      <c r="AB12" s="10">
        <v>100</v>
      </c>
      <c r="AC12" s="10">
        <v>1000</v>
      </c>
      <c r="AD12" s="146"/>
      <c r="AE12" s="59">
        <f>'Network Parameters'!$C$8</f>
        <v>0.2</v>
      </c>
      <c r="AF12" s="60">
        <f>'Network Parameters'!$C$9</f>
        <v>60</v>
      </c>
      <c r="AG12" s="61">
        <f>'Network Parameters'!$C$10</f>
        <v>0.2</v>
      </c>
      <c r="AJ12" s="139"/>
      <c r="AK12" s="8"/>
      <c r="AL12" s="141"/>
      <c r="AM12" s="10">
        <v>0.5</v>
      </c>
      <c r="AN12" s="10">
        <v>1</v>
      </c>
      <c r="AO12" s="10">
        <v>2</v>
      </c>
      <c r="AP12" s="10">
        <v>5</v>
      </c>
      <c r="AQ12" s="10">
        <v>10</v>
      </c>
      <c r="AR12" s="10">
        <v>50</v>
      </c>
      <c r="AS12" s="10">
        <v>100</v>
      </c>
      <c r="AT12" s="10">
        <v>1000</v>
      </c>
      <c r="AU12" s="146"/>
      <c r="AV12" s="59">
        <f>'Network Parameters'!$C$8</f>
        <v>0.2</v>
      </c>
      <c r="AW12" s="60">
        <f>'Network Parameters'!$C$9</f>
        <v>60</v>
      </c>
      <c r="AX12" s="61">
        <f>'Network Parameters'!$C$10</f>
        <v>0.2</v>
      </c>
    </row>
    <row r="13" spans="1:50" ht="15" customHeight="1" thickBo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</row>
    <row r="14" spans="1:50" ht="41.25" customHeight="1" x14ac:dyDescent="0.25">
      <c r="B14" s="13" t="s">
        <v>32</v>
      </c>
      <c r="D14" s="77">
        <v>23815.231043478259</v>
      </c>
      <c r="E14" s="78">
        <v>0.3</v>
      </c>
      <c r="F14" s="78">
        <v>0.3</v>
      </c>
      <c r="G14" s="78">
        <v>0.25</v>
      </c>
      <c r="H14" s="79">
        <v>0.05</v>
      </c>
      <c r="I14" s="78">
        <v>0.05</v>
      </c>
      <c r="J14" s="78">
        <v>0.02</v>
      </c>
      <c r="K14" s="78">
        <v>0.02</v>
      </c>
      <c r="L14" s="80">
        <v>0.01</v>
      </c>
      <c r="M14" s="81">
        <f>SUMPRODUCT($E$12:$L$12,E14:L14)</f>
        <v>14.7</v>
      </c>
      <c r="N14" s="82">
        <f>(SUMPRODUCT($E$12:$L$12,E14:L14))*$N$12*D14</f>
        <v>70016.779267826088</v>
      </c>
      <c r="O14" s="82">
        <f>N14/$O$12</f>
        <v>1166.9463211304349</v>
      </c>
      <c r="P14" s="83">
        <f>O14*(1+$P$12)</f>
        <v>1400.3355853565217</v>
      </c>
      <c r="S14" s="13" t="s">
        <v>32</v>
      </c>
      <c r="U14" s="77">
        <v>32045.774892104342</v>
      </c>
      <c r="V14" s="78">
        <v>0.3</v>
      </c>
      <c r="W14" s="78">
        <v>0.3</v>
      </c>
      <c r="X14" s="78">
        <v>0.25</v>
      </c>
      <c r="Y14" s="79">
        <v>0.05</v>
      </c>
      <c r="Z14" s="78">
        <v>0.05</v>
      </c>
      <c r="AA14" s="78">
        <v>0.02</v>
      </c>
      <c r="AB14" s="78">
        <v>0.02</v>
      </c>
      <c r="AC14" s="80">
        <v>0.01</v>
      </c>
      <c r="AD14" s="81">
        <f>SUMPRODUCT($V$12:$AC$12,V14:AC14)</f>
        <v>14.7</v>
      </c>
      <c r="AE14" s="82">
        <f>(SUMPRODUCT($V$12:$AC$12,V14:AC14))*$AE$12*U14</f>
        <v>94214.578182786761</v>
      </c>
      <c r="AF14" s="82">
        <f>AE14/$AF$12</f>
        <v>1570.2429697131126</v>
      </c>
      <c r="AG14" s="83">
        <f>AF14*(1+$AG$12)</f>
        <v>1884.291563655735</v>
      </c>
      <c r="AJ14" s="13" t="s">
        <v>32</v>
      </c>
      <c r="AL14" s="77">
        <v>67307.075955958877</v>
      </c>
      <c r="AM14" s="78">
        <v>0.3</v>
      </c>
      <c r="AN14" s="78">
        <v>0.3</v>
      </c>
      <c r="AO14" s="78">
        <v>0.25</v>
      </c>
      <c r="AP14" s="79">
        <v>0.05</v>
      </c>
      <c r="AQ14" s="78">
        <v>0.05</v>
      </c>
      <c r="AR14" s="78">
        <v>0.02</v>
      </c>
      <c r="AS14" s="78">
        <v>0.02</v>
      </c>
      <c r="AT14" s="80">
        <v>0.01</v>
      </c>
      <c r="AU14" s="81">
        <f>SUMPRODUCT($AM$12:$AT$12,AM14:AT14)</f>
        <v>14.7</v>
      </c>
      <c r="AV14" s="82">
        <f>(SUMPRODUCT($AM$12:$AT$12,AM14:AT14))*$AV$12*AL14</f>
        <v>197882.80331051908</v>
      </c>
      <c r="AW14" s="82">
        <f>AV14/$AW$12</f>
        <v>3298.0467218419849</v>
      </c>
      <c r="AX14" s="83">
        <f>AW14*(1+$AX$12)</f>
        <v>3957.6560662103816</v>
      </c>
    </row>
    <row r="15" spans="1:50" ht="15.75" customHeight="1" x14ac:dyDescent="0.25">
      <c r="B15" s="13" t="s">
        <v>33</v>
      </c>
      <c r="D15" s="84">
        <v>18319.408494983276</v>
      </c>
      <c r="E15" s="85">
        <v>0.3</v>
      </c>
      <c r="F15" s="85">
        <v>0.3</v>
      </c>
      <c r="G15" s="86">
        <v>0.2</v>
      </c>
      <c r="H15" s="87">
        <v>0.05</v>
      </c>
      <c r="I15" s="87">
        <v>0.1</v>
      </c>
      <c r="J15" s="87">
        <v>0.02</v>
      </c>
      <c r="K15" s="87">
        <v>0.02</v>
      </c>
      <c r="L15" s="88">
        <v>0.01</v>
      </c>
      <c r="M15" s="89">
        <f>SUMPRODUCT($E$12:$L$12,E15:L15)</f>
        <v>15.1</v>
      </c>
      <c r="N15" s="90">
        <f>(SUMPRODUCT($E$12:$L$12,E15:L15))*$N$12*D15</f>
        <v>55324.613654849491</v>
      </c>
      <c r="O15" s="90">
        <f>N15/$O$12</f>
        <v>922.07689424749151</v>
      </c>
      <c r="P15" s="91">
        <f>O15*(1+$P$12)</f>
        <v>1106.4922730969897</v>
      </c>
      <c r="S15" s="13" t="s">
        <v>33</v>
      </c>
      <c r="U15" s="84">
        <v>24650.596070849493</v>
      </c>
      <c r="V15" s="85">
        <v>0.3</v>
      </c>
      <c r="W15" s="85">
        <v>0.3</v>
      </c>
      <c r="X15" s="86">
        <v>0.2</v>
      </c>
      <c r="Y15" s="87">
        <v>0.05</v>
      </c>
      <c r="Z15" s="87">
        <v>0.1</v>
      </c>
      <c r="AA15" s="87">
        <v>0.02</v>
      </c>
      <c r="AB15" s="87">
        <v>0.02</v>
      </c>
      <c r="AC15" s="88">
        <v>0.01</v>
      </c>
      <c r="AD15" s="89">
        <f>SUMPRODUCT($V$12:$AC$12,V15:AC15)</f>
        <v>15.1</v>
      </c>
      <c r="AE15" s="90">
        <f>(SUMPRODUCT($V$12:$AC$12,V15:AC15))*$AE$12*U15</f>
        <v>74444.800133965473</v>
      </c>
      <c r="AF15" s="90">
        <f>AE15/$AF$12</f>
        <v>1240.7466688994245</v>
      </c>
      <c r="AG15" s="91">
        <f>AF15*(1+$AG$12)</f>
        <v>1488.8960026793095</v>
      </c>
      <c r="AJ15" s="13" t="s">
        <v>33</v>
      </c>
      <c r="AL15" s="84">
        <v>51774.673812276065</v>
      </c>
      <c r="AM15" s="85">
        <v>0.3</v>
      </c>
      <c r="AN15" s="85">
        <v>0.3</v>
      </c>
      <c r="AO15" s="86">
        <v>0.2</v>
      </c>
      <c r="AP15" s="87">
        <v>0.05</v>
      </c>
      <c r="AQ15" s="87">
        <v>0.1</v>
      </c>
      <c r="AR15" s="87">
        <v>0.02</v>
      </c>
      <c r="AS15" s="87">
        <v>0.02</v>
      </c>
      <c r="AT15" s="88">
        <v>0.01</v>
      </c>
      <c r="AU15" s="89">
        <f>SUMPRODUCT($AM$12:$AT$12,AM15:AT15)</f>
        <v>15.1</v>
      </c>
      <c r="AV15" s="90">
        <f>(SUMPRODUCT($AM$12:$AT$12,AM15:AT15))*$AV$12*AL15</f>
        <v>156359.51491307371</v>
      </c>
      <c r="AW15" s="90">
        <f>AV15/$AW$12</f>
        <v>2605.991915217895</v>
      </c>
      <c r="AX15" s="91">
        <f>AW15*(1+$AX$12)</f>
        <v>3127.1902982614738</v>
      </c>
    </row>
    <row r="16" spans="1:50" ht="15.75" customHeight="1" x14ac:dyDescent="0.25">
      <c r="B16" s="13" t="s">
        <v>1</v>
      </c>
      <c r="D16" s="84">
        <v>210673.19769230767</v>
      </c>
      <c r="E16" s="87">
        <v>0.05</v>
      </c>
      <c r="F16" s="92">
        <v>0.15</v>
      </c>
      <c r="G16" s="87">
        <v>0.15</v>
      </c>
      <c r="H16" s="87">
        <v>0.25</v>
      </c>
      <c r="I16" s="87">
        <v>0.22</v>
      </c>
      <c r="J16" s="87">
        <v>0.1</v>
      </c>
      <c r="K16" s="87">
        <v>0.05</v>
      </c>
      <c r="L16" s="88">
        <v>0.03</v>
      </c>
      <c r="M16" s="89">
        <f>SUMPRODUCT($E$12:$L$12,E16:L16)</f>
        <v>43.924999999999997</v>
      </c>
      <c r="N16" s="90">
        <f>(SUMPRODUCT($E$12:$L$12,E16:L16))*$N$12*D16</f>
        <v>1850764.0417269228</v>
      </c>
      <c r="O16" s="90">
        <f>N16/$O$12</f>
        <v>30846.06736211538</v>
      </c>
      <c r="P16" s="91">
        <f>O16*(1+$P$12)</f>
        <v>37015.280834538455</v>
      </c>
      <c r="S16" s="13" t="s">
        <v>1</v>
      </c>
      <c r="U16" s="84">
        <v>283481.85481476918</v>
      </c>
      <c r="V16" s="87">
        <v>0.05</v>
      </c>
      <c r="W16" s="92">
        <v>0.15</v>
      </c>
      <c r="X16" s="87">
        <v>0.15</v>
      </c>
      <c r="Y16" s="87">
        <v>0.25</v>
      </c>
      <c r="Z16" s="87">
        <v>0.22</v>
      </c>
      <c r="AA16" s="87">
        <v>0.1</v>
      </c>
      <c r="AB16" s="87">
        <v>0.05</v>
      </c>
      <c r="AC16" s="88">
        <v>0.03</v>
      </c>
      <c r="AD16" s="89">
        <f>SUMPRODUCT($V$12:$AC$12,V16:AC16)</f>
        <v>43.924999999999997</v>
      </c>
      <c r="AE16" s="90">
        <f>(SUMPRODUCT($V$12:$AC$12,V16:AC16))*$AE$12*U16</f>
        <v>2490388.0945477472</v>
      </c>
      <c r="AF16" s="90">
        <f>AE16/$AF$12</f>
        <v>41506.468242462455</v>
      </c>
      <c r="AG16" s="91">
        <f>AF16*(1+$AG$12)</f>
        <v>49807.761890954942</v>
      </c>
      <c r="AJ16" s="13" t="s">
        <v>1</v>
      </c>
      <c r="AL16" s="84">
        <v>595408.74884117476</v>
      </c>
      <c r="AM16" s="87">
        <v>0.05</v>
      </c>
      <c r="AN16" s="92">
        <v>0.15</v>
      </c>
      <c r="AO16" s="87">
        <v>0.15</v>
      </c>
      <c r="AP16" s="87">
        <v>0.25</v>
      </c>
      <c r="AQ16" s="87">
        <v>0.22</v>
      </c>
      <c r="AR16" s="87">
        <v>0.1</v>
      </c>
      <c r="AS16" s="87">
        <v>0.05</v>
      </c>
      <c r="AT16" s="88">
        <v>0.03</v>
      </c>
      <c r="AU16" s="89">
        <f>SUMPRODUCT($AM$12:$AT$12,AM16:AT16)</f>
        <v>43.924999999999997</v>
      </c>
      <c r="AV16" s="90">
        <f>(SUMPRODUCT($AM$12:$AT$12,AM16:AT16))*$AV$12*AL16</f>
        <v>5230665.8585697208</v>
      </c>
      <c r="AW16" s="90">
        <f>AV16/$AW$12</f>
        <v>87177.764309495353</v>
      </c>
      <c r="AX16" s="91">
        <f>AW16*(1+$AX$12)</f>
        <v>104613.31717139442</v>
      </c>
    </row>
    <row r="17" spans="2:50" ht="15.75" customHeight="1" x14ac:dyDescent="0.25">
      <c r="B17" s="13" t="s">
        <v>0</v>
      </c>
      <c r="D17" s="84">
        <v>108084.51012040133</v>
      </c>
      <c r="E17" s="87">
        <v>0.2</v>
      </c>
      <c r="F17" s="92">
        <v>0.25</v>
      </c>
      <c r="G17" s="87">
        <v>0.3</v>
      </c>
      <c r="H17" s="87">
        <v>0.15</v>
      </c>
      <c r="I17" s="87">
        <v>0.05</v>
      </c>
      <c r="J17" s="87">
        <v>0.02</v>
      </c>
      <c r="K17" s="87">
        <v>0.02</v>
      </c>
      <c r="L17" s="88">
        <v>0.01</v>
      </c>
      <c r="M17" s="89">
        <f>SUMPRODUCT($E$12:$L$12,E17:L17)</f>
        <v>15.2</v>
      </c>
      <c r="N17" s="90">
        <f>(SUMPRODUCT($E$12:$L$12,E17:L17))*$N$12*D17</f>
        <v>328576.91076602007</v>
      </c>
      <c r="O17" s="90">
        <f>N17/$O$12</f>
        <v>5476.2818461003344</v>
      </c>
      <c r="P17" s="91">
        <f>O17*(1+$P$12)</f>
        <v>6571.5382153204009</v>
      </c>
      <c r="S17" s="13" t="s">
        <v>0</v>
      </c>
      <c r="U17" s="84">
        <v>145438.51681801202</v>
      </c>
      <c r="V17" s="87">
        <v>0.2</v>
      </c>
      <c r="W17" s="92">
        <v>0.25</v>
      </c>
      <c r="X17" s="87">
        <v>0.3</v>
      </c>
      <c r="Y17" s="87">
        <v>0.15</v>
      </c>
      <c r="Z17" s="87">
        <v>0.05</v>
      </c>
      <c r="AA17" s="87">
        <v>0.02</v>
      </c>
      <c r="AB17" s="87">
        <v>0.02</v>
      </c>
      <c r="AC17" s="88">
        <v>0.01</v>
      </c>
      <c r="AD17" s="89">
        <f>SUMPRODUCT($V$12:$AC$12,V17:AC17)</f>
        <v>15.2</v>
      </c>
      <c r="AE17" s="90">
        <f>(SUMPRODUCT($V$12:$AC$12,V17:AC17))*$AE$12*U17</f>
        <v>442133.09112675657</v>
      </c>
      <c r="AF17" s="90">
        <f>AE17/$AF$12</f>
        <v>7368.8848521126092</v>
      </c>
      <c r="AG17" s="91">
        <f>AF17*(1+$AG$12)</f>
        <v>8842.6618225351303</v>
      </c>
      <c r="AJ17" s="13" t="s">
        <v>0</v>
      </c>
      <c r="AL17" s="84">
        <v>305470.57549242879</v>
      </c>
      <c r="AM17" s="87">
        <v>0.2</v>
      </c>
      <c r="AN17" s="92">
        <v>0.25</v>
      </c>
      <c r="AO17" s="87">
        <v>0.3</v>
      </c>
      <c r="AP17" s="87">
        <v>0.15</v>
      </c>
      <c r="AQ17" s="87">
        <v>0.05</v>
      </c>
      <c r="AR17" s="87">
        <v>0.02</v>
      </c>
      <c r="AS17" s="87">
        <v>0.02</v>
      </c>
      <c r="AT17" s="88">
        <v>0.01</v>
      </c>
      <c r="AU17" s="89">
        <f>SUMPRODUCT($AM$12:$AT$12,AM17:AT17)</f>
        <v>15.2</v>
      </c>
      <c r="AV17" s="90">
        <f>(SUMPRODUCT($AM$12:$AT$12,AM17:AT17))*$AV$12*AL17</f>
        <v>928630.54949698353</v>
      </c>
      <c r="AW17" s="90">
        <f>AV17/$AW$12</f>
        <v>15477.175824949725</v>
      </c>
      <c r="AX17" s="91">
        <f>AW17*(1+$AX$12)</f>
        <v>18572.610989939669</v>
      </c>
    </row>
    <row r="18" spans="2:50" ht="15.75" customHeight="1" x14ac:dyDescent="0.25">
      <c r="B18" s="13" t="s">
        <v>34</v>
      </c>
      <c r="D18" s="84">
        <v>227160.6653377926</v>
      </c>
      <c r="E18" s="87">
        <v>0.05</v>
      </c>
      <c r="F18" s="92">
        <v>0.15</v>
      </c>
      <c r="G18" s="87">
        <v>0.2</v>
      </c>
      <c r="H18" s="87">
        <v>0.24</v>
      </c>
      <c r="I18" s="87">
        <v>0.15</v>
      </c>
      <c r="J18" s="87">
        <v>0.15</v>
      </c>
      <c r="K18" s="87">
        <v>0.05</v>
      </c>
      <c r="L18" s="88">
        <v>0.01</v>
      </c>
      <c r="M18" s="89">
        <f>SUMPRODUCT($E$12:$L$12,E18:L18)</f>
        <v>25.774999999999999</v>
      </c>
      <c r="N18" s="90">
        <f>(SUMPRODUCT($E$12:$L$12,E18:L18))*$N$12*D18</f>
        <v>1171013.2298163208</v>
      </c>
      <c r="O18" s="90">
        <f>N18/$O$12</f>
        <v>19516.887163605348</v>
      </c>
      <c r="P18" s="91">
        <f>O18*(1+$P$12)</f>
        <v>23420.264596326419</v>
      </c>
      <c r="S18" s="13" t="s">
        <v>34</v>
      </c>
      <c r="U18" s="84">
        <v>305667.39127853367</v>
      </c>
      <c r="V18" s="87">
        <v>0.05</v>
      </c>
      <c r="W18" s="92">
        <v>0.15</v>
      </c>
      <c r="X18" s="87">
        <v>0.2</v>
      </c>
      <c r="Y18" s="87">
        <v>0.24</v>
      </c>
      <c r="Z18" s="87">
        <v>0.15</v>
      </c>
      <c r="AA18" s="87">
        <v>0.15</v>
      </c>
      <c r="AB18" s="87">
        <v>0.05</v>
      </c>
      <c r="AC18" s="88">
        <v>0.01</v>
      </c>
      <c r="AD18" s="89">
        <f>SUMPRODUCT($V$12:$AC$12,V18:AC18)</f>
        <v>25.774999999999999</v>
      </c>
      <c r="AE18" s="90">
        <f>(SUMPRODUCT($V$12:$AC$12,V18:AC18))*$AE$12*U18</f>
        <v>1575715.4020408411</v>
      </c>
      <c r="AF18" s="90">
        <f>AE18/$AF$12</f>
        <v>26261.92336734735</v>
      </c>
      <c r="AG18" s="91">
        <f>AF18*(1+$AG$12)</f>
        <v>31514.308040816817</v>
      </c>
      <c r="AJ18" s="13" t="s">
        <v>34</v>
      </c>
      <c r="AL18" s="84">
        <v>642005.9552722231</v>
      </c>
      <c r="AM18" s="87">
        <v>0.05</v>
      </c>
      <c r="AN18" s="92">
        <v>0.15</v>
      </c>
      <c r="AO18" s="87">
        <v>0.2</v>
      </c>
      <c r="AP18" s="87">
        <v>0.24</v>
      </c>
      <c r="AQ18" s="87">
        <v>0.15</v>
      </c>
      <c r="AR18" s="87">
        <v>0.15</v>
      </c>
      <c r="AS18" s="87">
        <v>0.05</v>
      </c>
      <c r="AT18" s="88">
        <v>0.01</v>
      </c>
      <c r="AU18" s="89">
        <f>SUMPRODUCT($AM$12:$AT$12,AM18:AT18)</f>
        <v>25.774999999999999</v>
      </c>
      <c r="AV18" s="90">
        <f>(SUMPRODUCT($AM$12:$AT$12,AM18:AT18))*$AV$12*AL18</f>
        <v>3309540.6994283102</v>
      </c>
      <c r="AW18" s="90">
        <f>AV18/$AW$12</f>
        <v>55159.011657138501</v>
      </c>
      <c r="AX18" s="91">
        <f>AW18*(1+$AX$12)</f>
        <v>66190.813988566195</v>
      </c>
    </row>
    <row r="19" spans="2:50" ht="15.75" customHeight="1" x14ac:dyDescent="0.25">
      <c r="B19" s="13" t="s">
        <v>35</v>
      </c>
      <c r="D19" s="84">
        <v>67781.811431438124</v>
      </c>
      <c r="E19" s="87">
        <v>0.12</v>
      </c>
      <c r="F19" s="92">
        <v>0.1</v>
      </c>
      <c r="G19" s="87">
        <v>0.1</v>
      </c>
      <c r="H19" s="87">
        <v>0.2</v>
      </c>
      <c r="I19" s="87">
        <v>0.3</v>
      </c>
      <c r="J19" s="87">
        <v>0.1</v>
      </c>
      <c r="K19" s="87">
        <v>0.05</v>
      </c>
      <c r="L19" s="88">
        <v>0.03</v>
      </c>
      <c r="M19" s="89">
        <f>SUMPRODUCT($E$12:$L$12,E19:L19)</f>
        <v>44.36</v>
      </c>
      <c r="N19" s="90">
        <f>(SUMPRODUCT($E$12:$L$12,E19:L19))*$N$12*D19</f>
        <v>601360.23101971904</v>
      </c>
      <c r="O19" s="90">
        <f>N19/$O$12</f>
        <v>10022.670516995317</v>
      </c>
      <c r="P19" s="91">
        <f>O19*(1+$P$12)</f>
        <v>12027.204620394379</v>
      </c>
      <c r="S19" s="13" t="s">
        <v>35</v>
      </c>
      <c r="U19" s="84">
        <v>91207.205462143131</v>
      </c>
      <c r="V19" s="87">
        <v>0.12</v>
      </c>
      <c r="W19" s="92">
        <v>0.1</v>
      </c>
      <c r="X19" s="87">
        <v>0.1</v>
      </c>
      <c r="Y19" s="87">
        <v>0.2</v>
      </c>
      <c r="Z19" s="87">
        <v>0.3</v>
      </c>
      <c r="AA19" s="87">
        <v>0.1</v>
      </c>
      <c r="AB19" s="87">
        <v>0.05</v>
      </c>
      <c r="AC19" s="88">
        <v>0.03</v>
      </c>
      <c r="AD19" s="89">
        <f>SUMPRODUCT($V$12:$AC$12,V19:AC19)</f>
        <v>44.36</v>
      </c>
      <c r="AE19" s="90">
        <f>(SUMPRODUCT($V$12:$AC$12,V19:AC19))*$AE$12*U19</f>
        <v>809190.32686013379</v>
      </c>
      <c r="AF19" s="90">
        <f>AE19/$AF$12</f>
        <v>13486.505447668897</v>
      </c>
      <c r="AG19" s="91">
        <f>AF19*(1+$AG$12)</f>
        <v>16183.806537202676</v>
      </c>
      <c r="AJ19" s="13" t="s">
        <v>35</v>
      </c>
      <c r="AL19" s="84">
        <v>191566.29310542144</v>
      </c>
      <c r="AM19" s="87">
        <v>0.12</v>
      </c>
      <c r="AN19" s="92">
        <v>0.1</v>
      </c>
      <c r="AO19" s="87">
        <v>0.1</v>
      </c>
      <c r="AP19" s="87">
        <v>0.2</v>
      </c>
      <c r="AQ19" s="87">
        <v>0.3</v>
      </c>
      <c r="AR19" s="87">
        <v>0.1</v>
      </c>
      <c r="AS19" s="87">
        <v>0.05</v>
      </c>
      <c r="AT19" s="88">
        <v>0.03</v>
      </c>
      <c r="AU19" s="89">
        <f>SUMPRODUCT($AM$12:$AT$12,AM19:AT19)</f>
        <v>44.36</v>
      </c>
      <c r="AV19" s="90">
        <f>(SUMPRODUCT($AM$12:$AT$12,AM19:AT19))*$AV$12*AL19</f>
        <v>1699576.152431299</v>
      </c>
      <c r="AW19" s="90">
        <f>AV19/$AW$12</f>
        <v>28326.269207188318</v>
      </c>
      <c r="AX19" s="91">
        <f>AW19*(1+$AX$12)</f>
        <v>33991.523048625982</v>
      </c>
    </row>
    <row r="20" spans="2:50" ht="31.5" customHeight="1" x14ac:dyDescent="0.25">
      <c r="B20" s="13" t="s">
        <v>36</v>
      </c>
      <c r="D20" s="84">
        <v>89765.101625418058</v>
      </c>
      <c r="E20" s="87">
        <v>0.05</v>
      </c>
      <c r="F20" s="92">
        <v>0.2</v>
      </c>
      <c r="G20" s="87">
        <v>0.3</v>
      </c>
      <c r="H20" s="87">
        <v>0.15</v>
      </c>
      <c r="I20" s="87">
        <v>0.14000000000000001</v>
      </c>
      <c r="J20" s="87">
        <v>0.1</v>
      </c>
      <c r="K20" s="87">
        <v>0.05</v>
      </c>
      <c r="L20" s="88">
        <v>0.01</v>
      </c>
      <c r="M20" s="89">
        <f>SUMPRODUCT($E$12:$L$12,E20:L20)</f>
        <v>22.975000000000001</v>
      </c>
      <c r="N20" s="90">
        <f>(SUMPRODUCT($E$12:$L$12,E20:L20))*$N$12*D20</f>
        <v>412470.64196879603</v>
      </c>
      <c r="O20" s="90">
        <f>N20/$O$12</f>
        <v>6874.5106994799335</v>
      </c>
      <c r="P20" s="91">
        <f>O20*(1+$P$12)</f>
        <v>8249.4128393759202</v>
      </c>
      <c r="S20" s="13" t="s">
        <v>36</v>
      </c>
      <c r="U20" s="84">
        <v>120787.92074716253</v>
      </c>
      <c r="V20" s="87">
        <v>0.05</v>
      </c>
      <c r="W20" s="92">
        <v>0.2</v>
      </c>
      <c r="X20" s="87">
        <v>0.3</v>
      </c>
      <c r="Y20" s="87">
        <v>0.15</v>
      </c>
      <c r="Z20" s="87">
        <v>0.14000000000000001</v>
      </c>
      <c r="AA20" s="87">
        <v>0.1</v>
      </c>
      <c r="AB20" s="87">
        <v>0.05</v>
      </c>
      <c r="AC20" s="88">
        <v>0.01</v>
      </c>
      <c r="AD20" s="89">
        <f>SUMPRODUCT($V$12:$AC$12,V20:AC20)</f>
        <v>22.975000000000001</v>
      </c>
      <c r="AE20" s="90">
        <f>(SUMPRODUCT($V$12:$AC$12,V20:AC20))*$AE$12*U20</f>
        <v>555020.49583321193</v>
      </c>
      <c r="AF20" s="90">
        <f>AE20/$AF$12</f>
        <v>9250.3415972201983</v>
      </c>
      <c r="AG20" s="91">
        <f>AF20*(1+$AG$12)</f>
        <v>11100.409916664237</v>
      </c>
      <c r="AJ20" s="13" t="s">
        <v>36</v>
      </c>
      <c r="AL20" s="84">
        <v>253695.90168015272</v>
      </c>
      <c r="AM20" s="87">
        <v>0.05</v>
      </c>
      <c r="AN20" s="92">
        <v>0.2</v>
      </c>
      <c r="AO20" s="87">
        <v>0.3</v>
      </c>
      <c r="AP20" s="87">
        <v>0.15</v>
      </c>
      <c r="AQ20" s="87">
        <v>0.14000000000000001</v>
      </c>
      <c r="AR20" s="87">
        <v>0.1</v>
      </c>
      <c r="AS20" s="87">
        <v>0.05</v>
      </c>
      <c r="AT20" s="88">
        <v>0.01</v>
      </c>
      <c r="AU20" s="89">
        <f>SUMPRODUCT($AM$12:$AT$12,AM20:AT20)</f>
        <v>22.975000000000001</v>
      </c>
      <c r="AV20" s="90">
        <f>(SUMPRODUCT($AM$12:$AT$12,AM20:AT20))*$AV$12*AL20</f>
        <v>1165732.6682203019</v>
      </c>
      <c r="AW20" s="90">
        <f>AV20/$AW$12</f>
        <v>19428.877803671698</v>
      </c>
      <c r="AX20" s="91">
        <f>AW20*(1+$AX$12)</f>
        <v>23314.653364406036</v>
      </c>
    </row>
    <row r="21" spans="2:50" ht="15.75" customHeight="1" x14ac:dyDescent="0.25">
      <c r="B21" s="13" t="s">
        <v>37</v>
      </c>
      <c r="D21" s="84">
        <v>109916.45096989966</v>
      </c>
      <c r="E21" s="87">
        <v>0.05</v>
      </c>
      <c r="F21" s="92">
        <v>0.1</v>
      </c>
      <c r="G21" s="87">
        <v>0.1</v>
      </c>
      <c r="H21" s="87">
        <v>0.15</v>
      </c>
      <c r="I21" s="87">
        <v>0.25</v>
      </c>
      <c r="J21" s="87">
        <v>0.16</v>
      </c>
      <c r="K21" s="87">
        <v>0.15</v>
      </c>
      <c r="L21" s="88">
        <v>0.04</v>
      </c>
      <c r="M21" s="89">
        <f>SUMPRODUCT($E$12:$L$12,E21:L21)</f>
        <v>66.575000000000003</v>
      </c>
      <c r="N21" s="90">
        <f>(SUMPRODUCT($E$12:$L$12,E21:L21))*$N$12*D21</f>
        <v>1463537.5446642141</v>
      </c>
      <c r="O21" s="90">
        <f>N21/$O$12</f>
        <v>24392.292411070237</v>
      </c>
      <c r="P21" s="91">
        <f>O21*(1+$P$12)</f>
        <v>29270.750893284283</v>
      </c>
      <c r="S21" s="13" t="s">
        <v>37</v>
      </c>
      <c r="U21" s="84">
        <v>147903.57642509698</v>
      </c>
      <c r="V21" s="87">
        <v>0.05</v>
      </c>
      <c r="W21" s="92">
        <v>0.1</v>
      </c>
      <c r="X21" s="87">
        <v>0.1</v>
      </c>
      <c r="Y21" s="87">
        <v>0.15</v>
      </c>
      <c r="Z21" s="87">
        <v>0.25</v>
      </c>
      <c r="AA21" s="87">
        <v>0.16</v>
      </c>
      <c r="AB21" s="87">
        <v>0.15</v>
      </c>
      <c r="AC21" s="88">
        <v>0.04</v>
      </c>
      <c r="AD21" s="89">
        <f>SUMPRODUCT($V$12:$AC$12,V21:AC21)</f>
        <v>66.575000000000003</v>
      </c>
      <c r="AE21" s="90">
        <f>(SUMPRODUCT($V$12:$AC$12,V21:AC21))*$AE$12*U21</f>
        <v>1969336.1201001664</v>
      </c>
      <c r="AF21" s="90">
        <f>AE21/$AF$12</f>
        <v>32822.26866833611</v>
      </c>
      <c r="AG21" s="91">
        <f>AF21*(1+$AG$12)</f>
        <v>39386.722402003332</v>
      </c>
      <c r="AJ21" s="13" t="s">
        <v>37</v>
      </c>
      <c r="AL21" s="84">
        <v>310648.04287365638</v>
      </c>
      <c r="AM21" s="87">
        <v>0.05</v>
      </c>
      <c r="AN21" s="92">
        <v>0.1</v>
      </c>
      <c r="AO21" s="87">
        <v>0.1</v>
      </c>
      <c r="AP21" s="87">
        <v>0.15</v>
      </c>
      <c r="AQ21" s="87">
        <v>0.25</v>
      </c>
      <c r="AR21" s="87">
        <v>0.16</v>
      </c>
      <c r="AS21" s="87">
        <v>0.15</v>
      </c>
      <c r="AT21" s="88">
        <v>0.04</v>
      </c>
      <c r="AU21" s="89">
        <f>SUMPRODUCT($AM$12:$AT$12,AM21:AT21)</f>
        <v>66.575000000000003</v>
      </c>
      <c r="AV21" s="90">
        <f>(SUMPRODUCT($AM$12:$AT$12,AM21:AT21))*$AV$12*AL21</f>
        <v>4136278.6908627353</v>
      </c>
      <c r="AW21" s="90">
        <f>AV21/$AW$12</f>
        <v>68937.97818104559</v>
      </c>
      <c r="AX21" s="91">
        <f>AW21*(1+$AX$12)</f>
        <v>82725.573817254699</v>
      </c>
    </row>
    <row r="22" spans="2:50" ht="47.25" customHeight="1" x14ac:dyDescent="0.25">
      <c r="B22" s="13" t="s">
        <v>38</v>
      </c>
      <c r="D22" s="84">
        <v>60454.048033444815</v>
      </c>
      <c r="E22" s="87">
        <v>0.3</v>
      </c>
      <c r="F22" s="92">
        <v>0.25</v>
      </c>
      <c r="G22" s="87">
        <v>0.25</v>
      </c>
      <c r="H22" s="87">
        <v>0.1</v>
      </c>
      <c r="I22" s="87">
        <v>0.05</v>
      </c>
      <c r="J22" s="87">
        <v>0.02</v>
      </c>
      <c r="K22" s="87">
        <v>0.02</v>
      </c>
      <c r="L22" s="88">
        <v>0.01</v>
      </c>
      <c r="M22" s="89">
        <f>SUMPRODUCT($E$12:$L$12,E22:L22)</f>
        <v>14.9</v>
      </c>
      <c r="N22" s="90">
        <f>(SUMPRODUCT($E$12:$L$12,E22:L22))*$N$12*D22</f>
        <v>180153.06313966558</v>
      </c>
      <c r="O22" s="90">
        <f>N22/$O$12</f>
        <v>3002.5510523277599</v>
      </c>
      <c r="P22" s="91">
        <f>O22*(1+$P$12)</f>
        <v>3603.0612627933119</v>
      </c>
      <c r="S22" s="13" t="s">
        <v>38</v>
      </c>
      <c r="U22" s="84">
        <v>81346.967033803332</v>
      </c>
      <c r="V22" s="87">
        <v>0.3</v>
      </c>
      <c r="W22" s="92">
        <v>0.25</v>
      </c>
      <c r="X22" s="87">
        <v>0.25</v>
      </c>
      <c r="Y22" s="87">
        <v>0.1</v>
      </c>
      <c r="Z22" s="87">
        <v>0.05</v>
      </c>
      <c r="AA22" s="87">
        <v>0.02</v>
      </c>
      <c r="AB22" s="87">
        <v>0.02</v>
      </c>
      <c r="AC22" s="88">
        <v>0.01</v>
      </c>
      <c r="AD22" s="89">
        <f>SUMPRODUCT($V$12:$AC$12,V22:AC22)</f>
        <v>14.9</v>
      </c>
      <c r="AE22" s="90">
        <f>(SUMPRODUCT($V$12:$AC$12,V22:AC22))*$AE$12*U22</f>
        <v>242413.96176073398</v>
      </c>
      <c r="AF22" s="90">
        <f>AE22/$AF$12</f>
        <v>4040.2326960122327</v>
      </c>
      <c r="AG22" s="91">
        <f>AF22*(1+$AG$12)</f>
        <v>4848.2792352146789</v>
      </c>
      <c r="AJ22" s="13" t="s">
        <v>38</v>
      </c>
      <c r="AL22" s="84">
        <v>170856.42358051101</v>
      </c>
      <c r="AM22" s="87">
        <v>0.3</v>
      </c>
      <c r="AN22" s="92">
        <v>0.25</v>
      </c>
      <c r="AO22" s="87">
        <v>0.25</v>
      </c>
      <c r="AP22" s="87">
        <v>0.1</v>
      </c>
      <c r="AQ22" s="87">
        <v>0.05</v>
      </c>
      <c r="AR22" s="87">
        <v>0.02</v>
      </c>
      <c r="AS22" s="87">
        <v>0.02</v>
      </c>
      <c r="AT22" s="88">
        <v>0.01</v>
      </c>
      <c r="AU22" s="89">
        <f>SUMPRODUCT($AM$12:$AT$12,AM22:AT22)</f>
        <v>14.9</v>
      </c>
      <c r="AV22" s="90">
        <f>(SUMPRODUCT($AM$12:$AT$12,AM22:AT22))*$AV$12*AL22</f>
        <v>509152.14226992289</v>
      </c>
      <c r="AW22" s="90">
        <f>AV22/$AW$12</f>
        <v>8485.869037832048</v>
      </c>
      <c r="AX22" s="91">
        <f>AW22*(1+$AX$12)</f>
        <v>10183.042845398457</v>
      </c>
    </row>
    <row r="23" spans="2:50" ht="15.75" customHeight="1" x14ac:dyDescent="0.25">
      <c r="B23" s="13" t="s">
        <v>39</v>
      </c>
      <c r="D23" s="84">
        <v>150219.14965886285</v>
      </c>
      <c r="E23" s="87">
        <v>0.1</v>
      </c>
      <c r="F23" s="92">
        <v>0.12</v>
      </c>
      <c r="G23" s="87">
        <v>0.12</v>
      </c>
      <c r="H23" s="87">
        <v>0.1</v>
      </c>
      <c r="I23" s="87">
        <v>0.18</v>
      </c>
      <c r="J23" s="87">
        <v>0.2</v>
      </c>
      <c r="K23" s="87">
        <v>0.15</v>
      </c>
      <c r="L23" s="88">
        <v>0.03</v>
      </c>
      <c r="M23" s="89">
        <f>SUMPRODUCT($E$12:$L$12,E23:L23)</f>
        <v>57.71</v>
      </c>
      <c r="N23" s="90">
        <f>(SUMPRODUCT($E$12:$L$12,E23:L23))*$N$12*D23</f>
        <v>1733829.4253625954</v>
      </c>
      <c r="O23" s="90">
        <f>N23/$O$12</f>
        <v>28897.157089376589</v>
      </c>
      <c r="P23" s="91">
        <f>O23*(1+$P$12)</f>
        <v>34676.588507251909</v>
      </c>
      <c r="S23" s="13" t="s">
        <v>39</v>
      </c>
      <c r="U23" s="84">
        <v>202134.88778096583</v>
      </c>
      <c r="V23" s="87">
        <v>0.1</v>
      </c>
      <c r="W23" s="92">
        <v>0.12</v>
      </c>
      <c r="X23" s="87">
        <v>0.12</v>
      </c>
      <c r="Y23" s="87">
        <v>0.1</v>
      </c>
      <c r="Z23" s="87">
        <v>0.18</v>
      </c>
      <c r="AA23" s="87">
        <v>0.2</v>
      </c>
      <c r="AB23" s="87">
        <v>0.15</v>
      </c>
      <c r="AC23" s="88">
        <v>0.03</v>
      </c>
      <c r="AD23" s="89">
        <f>SUMPRODUCT($V$12:$AC$12,V23:AC23)</f>
        <v>57.71</v>
      </c>
      <c r="AE23" s="90">
        <f>(SUMPRODUCT($V$12:$AC$12,V23:AC23))*$AE$12*U23</f>
        <v>2333040.8747679079</v>
      </c>
      <c r="AF23" s="90">
        <f>AE23/$AF$12</f>
        <v>38884.014579465133</v>
      </c>
      <c r="AG23" s="91">
        <f>AF23*(1+$AG$12)</f>
        <v>46660.817495358155</v>
      </c>
      <c r="AJ23" s="13" t="s">
        <v>39</v>
      </c>
      <c r="AL23" s="84">
        <v>424552.3252606637</v>
      </c>
      <c r="AM23" s="87">
        <v>0.1</v>
      </c>
      <c r="AN23" s="92">
        <v>0.12</v>
      </c>
      <c r="AO23" s="87">
        <v>0.12</v>
      </c>
      <c r="AP23" s="87">
        <v>0.1</v>
      </c>
      <c r="AQ23" s="87">
        <v>0.18</v>
      </c>
      <c r="AR23" s="87">
        <v>0.2</v>
      </c>
      <c r="AS23" s="87">
        <v>0.15</v>
      </c>
      <c r="AT23" s="88">
        <v>0.03</v>
      </c>
      <c r="AU23" s="89">
        <f>SUMPRODUCT($AM$12:$AT$12,AM23:AT23)</f>
        <v>57.71</v>
      </c>
      <c r="AV23" s="90">
        <f>(SUMPRODUCT($AM$12:$AT$12,AM23:AT23))*$AV$12*AL23</f>
        <v>4900182.938158581</v>
      </c>
      <c r="AW23" s="90">
        <f>AV23/$AW$12</f>
        <v>81669.715635976347</v>
      </c>
      <c r="AX23" s="91">
        <f>AW23*(1+$AX$12)</f>
        <v>98003.65876317161</v>
      </c>
    </row>
    <row r="24" spans="2:50" ht="15.75" customHeight="1" x14ac:dyDescent="0.25">
      <c r="B24" s="13" t="s">
        <v>3</v>
      </c>
      <c r="D24" s="84">
        <v>326085.47121070232</v>
      </c>
      <c r="E24" s="87">
        <v>0.1</v>
      </c>
      <c r="F24" s="92">
        <v>0.15</v>
      </c>
      <c r="G24" s="87">
        <v>0.2</v>
      </c>
      <c r="H24" s="87">
        <v>0.18</v>
      </c>
      <c r="I24" s="87">
        <v>0.15</v>
      </c>
      <c r="J24" s="87">
        <v>0.1</v>
      </c>
      <c r="K24" s="87">
        <v>0.1</v>
      </c>
      <c r="L24" s="88">
        <v>0.02</v>
      </c>
      <c r="M24" s="89">
        <f>SUMPRODUCT($E$12:$L$12,E24:L24)</f>
        <v>38</v>
      </c>
      <c r="N24" s="90">
        <f>(SUMPRODUCT($E$12:$L$12,E24:L24))*$N$12*D24</f>
        <v>2478249.5812013377</v>
      </c>
      <c r="O24" s="90">
        <f>N24/$O$12</f>
        <v>41304.159686688959</v>
      </c>
      <c r="P24" s="91">
        <f>O24*(1+$P$12)</f>
        <v>49564.991624026748</v>
      </c>
      <c r="S24" s="13" t="s">
        <v>3</v>
      </c>
      <c r="U24" s="84">
        <v>438780.610061121</v>
      </c>
      <c r="V24" s="87">
        <v>0.1</v>
      </c>
      <c r="W24" s="92">
        <v>0.15</v>
      </c>
      <c r="X24" s="87">
        <v>0.2</v>
      </c>
      <c r="Y24" s="87">
        <v>0.18</v>
      </c>
      <c r="Z24" s="87">
        <v>0.15</v>
      </c>
      <c r="AA24" s="87">
        <v>0.1</v>
      </c>
      <c r="AB24" s="87">
        <v>0.1</v>
      </c>
      <c r="AC24" s="88">
        <v>0.02</v>
      </c>
      <c r="AD24" s="89">
        <f>SUMPRODUCT($V$12:$AC$12,V24:AC24)</f>
        <v>38</v>
      </c>
      <c r="AE24" s="90">
        <f>(SUMPRODUCT($V$12:$AC$12,V24:AC24))*$AE$12*U24</f>
        <v>3334732.6364645199</v>
      </c>
      <c r="AF24" s="90">
        <f>AE24/$AF$12</f>
        <v>55578.877274408667</v>
      </c>
      <c r="AG24" s="91">
        <f>AF24*(1+$AG$12)</f>
        <v>66694.652729290392</v>
      </c>
      <c r="AJ24" s="13" t="s">
        <v>3</v>
      </c>
      <c r="AL24" s="84">
        <v>921589.19385851396</v>
      </c>
      <c r="AM24" s="87">
        <v>0.1</v>
      </c>
      <c r="AN24" s="92">
        <v>0.15</v>
      </c>
      <c r="AO24" s="87">
        <v>0.2</v>
      </c>
      <c r="AP24" s="87">
        <v>0.18</v>
      </c>
      <c r="AQ24" s="87">
        <v>0.15</v>
      </c>
      <c r="AR24" s="87">
        <v>0.1</v>
      </c>
      <c r="AS24" s="87">
        <v>0.1</v>
      </c>
      <c r="AT24" s="88">
        <v>0.02</v>
      </c>
      <c r="AU24" s="89">
        <f>SUMPRODUCT($AM$12:$AT$12,AM24:AT24)</f>
        <v>38</v>
      </c>
      <c r="AV24" s="90">
        <f>(SUMPRODUCT($AM$12:$AT$12,AM24:AT24))*$AV$12*AL24</f>
        <v>7004077.8733247062</v>
      </c>
      <c r="AW24" s="90">
        <f>AV24/$AW$12</f>
        <v>116734.63122207843</v>
      </c>
      <c r="AX24" s="91">
        <f>AW24*(1+$AX$12)</f>
        <v>140081.55746649412</v>
      </c>
    </row>
    <row r="25" spans="2:50" ht="31.5" customHeight="1" x14ac:dyDescent="0.25">
      <c r="B25" s="13" t="s">
        <v>40</v>
      </c>
      <c r="D25" s="84">
        <v>54958.225484949828</v>
      </c>
      <c r="E25" s="87">
        <v>0.25</v>
      </c>
      <c r="F25" s="92">
        <v>0.2</v>
      </c>
      <c r="G25" s="87">
        <v>0.17</v>
      </c>
      <c r="H25" s="87">
        <v>0.15</v>
      </c>
      <c r="I25" s="87">
        <v>0.1</v>
      </c>
      <c r="J25" s="87">
        <v>0.1</v>
      </c>
      <c r="K25" s="87">
        <v>0.02</v>
      </c>
      <c r="L25" s="88">
        <v>0.01</v>
      </c>
      <c r="M25" s="89">
        <f>SUMPRODUCT($E$12:$L$12,E25:L25)</f>
        <v>19.414999999999999</v>
      </c>
      <c r="N25" s="90">
        <f>(SUMPRODUCT($E$12:$L$12,E25:L25))*$N$12*D25</f>
        <v>213402.78955806018</v>
      </c>
      <c r="O25" s="90">
        <f>N25/$O$12</f>
        <v>3556.7131593010031</v>
      </c>
      <c r="P25" s="91">
        <f>O25*(1+$P$12)</f>
        <v>4268.0557911612032</v>
      </c>
      <c r="S25" s="13" t="s">
        <v>40</v>
      </c>
      <c r="U25" s="84">
        <v>73951.78821254849</v>
      </c>
      <c r="V25" s="87">
        <v>0.25</v>
      </c>
      <c r="W25" s="92">
        <v>0.2</v>
      </c>
      <c r="X25" s="87">
        <v>0.17</v>
      </c>
      <c r="Y25" s="87">
        <v>0.15</v>
      </c>
      <c r="Z25" s="87">
        <v>0.1</v>
      </c>
      <c r="AA25" s="87">
        <v>0.1</v>
      </c>
      <c r="AB25" s="87">
        <v>0.02</v>
      </c>
      <c r="AC25" s="88">
        <v>0.01</v>
      </c>
      <c r="AD25" s="89">
        <f>SUMPRODUCT($V$12:$AC$12,V25:AC25)</f>
        <v>19.414999999999999</v>
      </c>
      <c r="AE25" s="90">
        <f>(SUMPRODUCT($V$12:$AC$12,V25:AC25))*$AE$12*U25</f>
        <v>287154.79362932581</v>
      </c>
      <c r="AF25" s="90">
        <f>AE25/$AF$12</f>
        <v>4785.9132271554299</v>
      </c>
      <c r="AG25" s="91">
        <f>AF25*(1+$AG$12)</f>
        <v>5743.0958725865157</v>
      </c>
      <c r="AJ25" s="13" t="s">
        <v>40</v>
      </c>
      <c r="AL25" s="84">
        <v>155324.02143682819</v>
      </c>
      <c r="AM25" s="87">
        <v>0.25</v>
      </c>
      <c r="AN25" s="92">
        <v>0.2</v>
      </c>
      <c r="AO25" s="87">
        <v>0.17</v>
      </c>
      <c r="AP25" s="87">
        <v>0.15</v>
      </c>
      <c r="AQ25" s="87">
        <v>0.1</v>
      </c>
      <c r="AR25" s="87">
        <v>0.1</v>
      </c>
      <c r="AS25" s="87">
        <v>0.02</v>
      </c>
      <c r="AT25" s="88">
        <v>0.01</v>
      </c>
      <c r="AU25" s="89">
        <f>SUMPRODUCT($AM$12:$AT$12,AM25:AT25)</f>
        <v>19.414999999999999</v>
      </c>
      <c r="AV25" s="90">
        <f>(SUMPRODUCT($AM$12:$AT$12,AM25:AT25))*$AV$12*AL25</f>
        <v>603123.17523920385</v>
      </c>
      <c r="AW25" s="90">
        <f>AV25/$AW$12</f>
        <v>10052.052920653397</v>
      </c>
      <c r="AX25" s="91">
        <f>AW25*(1+$AX$12)</f>
        <v>12062.463504784077</v>
      </c>
    </row>
    <row r="26" spans="2:50" ht="15.75" customHeight="1" x14ac:dyDescent="0.25">
      <c r="B26" s="13" t="s">
        <v>2</v>
      </c>
      <c r="D26" s="84">
        <v>128235.85946488295</v>
      </c>
      <c r="E26" s="87">
        <v>0.3</v>
      </c>
      <c r="F26" s="92">
        <v>0.27</v>
      </c>
      <c r="G26" s="87">
        <v>0.2</v>
      </c>
      <c r="H26" s="87">
        <v>0.05</v>
      </c>
      <c r="I26" s="87">
        <v>0.1</v>
      </c>
      <c r="J26" s="87">
        <v>0.05</v>
      </c>
      <c r="K26" s="87">
        <v>0.02</v>
      </c>
      <c r="L26" s="88">
        <v>0.01</v>
      </c>
      <c r="M26" s="89">
        <f>SUMPRODUCT($E$12:$L$12,E26:L26)</f>
        <v>16.57</v>
      </c>
      <c r="N26" s="90">
        <f>(SUMPRODUCT($E$12:$L$12,E26:L26))*$N$12*D26</f>
        <v>424973.63826662209</v>
      </c>
      <c r="O26" s="90">
        <f>N26/$O$12</f>
        <v>7082.8939711103685</v>
      </c>
      <c r="P26" s="91">
        <f>O26*(1+$P$12)</f>
        <v>8499.4727653324426</v>
      </c>
      <c r="S26" s="13" t="s">
        <v>2</v>
      </c>
      <c r="U26" s="84">
        <v>172554.17249594649</v>
      </c>
      <c r="V26" s="87">
        <v>0.3</v>
      </c>
      <c r="W26" s="92">
        <v>0.27</v>
      </c>
      <c r="X26" s="87">
        <v>0.2</v>
      </c>
      <c r="Y26" s="87">
        <v>0.05</v>
      </c>
      <c r="Z26" s="87">
        <v>0.1</v>
      </c>
      <c r="AA26" s="87">
        <v>0.05</v>
      </c>
      <c r="AB26" s="87">
        <v>0.02</v>
      </c>
      <c r="AC26" s="88">
        <v>0.01</v>
      </c>
      <c r="AD26" s="89">
        <f>SUMPRODUCT($V$12:$AC$12,V26:AC26)</f>
        <v>16.57</v>
      </c>
      <c r="AE26" s="90">
        <f>(SUMPRODUCT($V$12:$AC$12,V26:AC26))*$AE$12*U26</f>
        <v>571844.52765156666</v>
      </c>
      <c r="AF26" s="90">
        <f>AE26/$AF$12</f>
        <v>9530.7421275261113</v>
      </c>
      <c r="AG26" s="91">
        <f>AF26*(1+$AG$12)</f>
        <v>11436.890553031333</v>
      </c>
      <c r="AJ26" s="13" t="s">
        <v>2</v>
      </c>
      <c r="AL26" s="84">
        <v>362422.71668593248</v>
      </c>
      <c r="AM26" s="87">
        <v>0.3</v>
      </c>
      <c r="AN26" s="92">
        <v>0.27</v>
      </c>
      <c r="AO26" s="87">
        <v>0.2</v>
      </c>
      <c r="AP26" s="87">
        <v>0.05</v>
      </c>
      <c r="AQ26" s="87">
        <v>0.1</v>
      </c>
      <c r="AR26" s="87">
        <v>0.05</v>
      </c>
      <c r="AS26" s="87">
        <v>0.02</v>
      </c>
      <c r="AT26" s="88">
        <v>0.01</v>
      </c>
      <c r="AU26" s="89">
        <f>SUMPRODUCT($AM$12:$AT$12,AM26:AT26)</f>
        <v>16.57</v>
      </c>
      <c r="AV26" s="90">
        <f>(SUMPRODUCT($AM$12:$AT$12,AM26:AT26))*$AV$12*AL26</f>
        <v>1201068.8830971802</v>
      </c>
      <c r="AW26" s="90">
        <f>AV26/$AW$12</f>
        <v>20017.814718286336</v>
      </c>
      <c r="AX26" s="91">
        <f>AW26*(1+$AX$12)</f>
        <v>24021.377661943603</v>
      </c>
    </row>
    <row r="27" spans="2:50" ht="15.75" customHeight="1" x14ac:dyDescent="0.25">
      <c r="B27" s="13" t="s">
        <v>41</v>
      </c>
      <c r="D27" s="84">
        <v>69613.752280936445</v>
      </c>
      <c r="E27" s="87">
        <v>0.1</v>
      </c>
      <c r="F27" s="92">
        <v>0.14000000000000001</v>
      </c>
      <c r="G27" s="87">
        <v>0.15</v>
      </c>
      <c r="H27" s="87">
        <v>0.2</v>
      </c>
      <c r="I27" s="87">
        <v>0.25</v>
      </c>
      <c r="J27" s="87">
        <v>0.1</v>
      </c>
      <c r="K27" s="87">
        <v>0.05</v>
      </c>
      <c r="L27" s="88">
        <v>0.01</v>
      </c>
      <c r="M27" s="89">
        <f>SUMPRODUCT($E$12:$L$12,E27:L27)</f>
        <v>23.990000000000002</v>
      </c>
      <c r="N27" s="90">
        <f>(SUMPRODUCT($E$12:$L$12,E27:L27))*$N$12*D27</f>
        <v>334006.78344393312</v>
      </c>
      <c r="O27" s="90">
        <f>N27/$O$12</f>
        <v>5566.7797240655518</v>
      </c>
      <c r="P27" s="91">
        <f>O27*(1+$P$12)</f>
        <v>6680.1356688786618</v>
      </c>
      <c r="S27" s="13" t="s">
        <v>41</v>
      </c>
      <c r="U27" s="84">
        <v>93672.265069228073</v>
      </c>
      <c r="V27" s="87">
        <v>0.1</v>
      </c>
      <c r="W27" s="92">
        <v>0.14000000000000001</v>
      </c>
      <c r="X27" s="87">
        <v>0.15</v>
      </c>
      <c r="Y27" s="87">
        <v>0.2</v>
      </c>
      <c r="Z27" s="87">
        <v>0.25</v>
      </c>
      <c r="AA27" s="87">
        <v>0.1</v>
      </c>
      <c r="AB27" s="87">
        <v>0.05</v>
      </c>
      <c r="AC27" s="88">
        <v>0.01</v>
      </c>
      <c r="AD27" s="89">
        <f>SUMPRODUCT($V$12:$AC$12,V27:AC27)</f>
        <v>23.990000000000002</v>
      </c>
      <c r="AE27" s="90">
        <f>(SUMPRODUCT($V$12:$AC$12,V27:AC27))*$AE$12*U27</f>
        <v>449439.5278021564</v>
      </c>
      <c r="AF27" s="90">
        <f>AE27/$AF$12</f>
        <v>7490.6587967026071</v>
      </c>
      <c r="AG27" s="91">
        <f>AF27*(1+$AG$12)</f>
        <v>8988.7905560431282</v>
      </c>
      <c r="AJ27" s="13" t="s">
        <v>41</v>
      </c>
      <c r="AL27" s="84">
        <v>196743.76048664903</v>
      </c>
      <c r="AM27" s="87">
        <v>0.1</v>
      </c>
      <c r="AN27" s="92">
        <v>0.14000000000000001</v>
      </c>
      <c r="AO27" s="87">
        <v>0.15</v>
      </c>
      <c r="AP27" s="87">
        <v>0.2</v>
      </c>
      <c r="AQ27" s="87">
        <v>0.25</v>
      </c>
      <c r="AR27" s="87">
        <v>0.1</v>
      </c>
      <c r="AS27" s="87">
        <v>0.05</v>
      </c>
      <c r="AT27" s="88">
        <v>0.01</v>
      </c>
      <c r="AU27" s="89">
        <f>SUMPRODUCT($AM$12:$AT$12,AM27:AT27)</f>
        <v>23.990000000000002</v>
      </c>
      <c r="AV27" s="90">
        <f>(SUMPRODUCT($AM$12:$AT$12,AM27:AT27))*$AV$12*AL27</f>
        <v>943976.56281494221</v>
      </c>
      <c r="AW27" s="90">
        <f>AV27/$AW$12</f>
        <v>15732.94271358237</v>
      </c>
      <c r="AX27" s="91">
        <f>AW27*(1+$AX$12)</f>
        <v>18879.531256298844</v>
      </c>
    </row>
    <row r="28" spans="2:50" ht="15.75" customHeight="1" x14ac:dyDescent="0.25">
      <c r="B28" s="13" t="s">
        <v>42</v>
      </c>
      <c r="D28" s="84">
        <v>111748.39181939798</v>
      </c>
      <c r="E28" s="87">
        <v>0.1</v>
      </c>
      <c r="F28" s="92">
        <v>0.15</v>
      </c>
      <c r="G28" s="87">
        <v>0.2</v>
      </c>
      <c r="H28" s="87">
        <v>0.22</v>
      </c>
      <c r="I28" s="87">
        <v>0.2</v>
      </c>
      <c r="J28" s="87">
        <v>0.1</v>
      </c>
      <c r="K28" s="87">
        <v>0.02</v>
      </c>
      <c r="L28" s="88">
        <v>0.01</v>
      </c>
      <c r="M28" s="89">
        <f>SUMPRODUCT($E$12:$L$12,E28:L28)</f>
        <v>20.7</v>
      </c>
      <c r="N28" s="90">
        <f>(SUMPRODUCT($E$12:$L$12,E28:L28))*$N$12*D28</f>
        <v>462638.34213230759</v>
      </c>
      <c r="O28" s="90">
        <f>N28/$O$12</f>
        <v>7710.6390355384601</v>
      </c>
      <c r="P28" s="91">
        <f>O28*(1+$P$12)</f>
        <v>9252.7668426461514</v>
      </c>
      <c r="S28" s="13" t="s">
        <v>42</v>
      </c>
      <c r="U28" s="84">
        <v>150368.63603218191</v>
      </c>
      <c r="V28" s="87">
        <v>0.1</v>
      </c>
      <c r="W28" s="92">
        <v>0.15</v>
      </c>
      <c r="X28" s="87">
        <v>0.2</v>
      </c>
      <c r="Y28" s="87">
        <v>0.22</v>
      </c>
      <c r="Z28" s="87">
        <v>0.2</v>
      </c>
      <c r="AA28" s="87">
        <v>0.1</v>
      </c>
      <c r="AB28" s="87">
        <v>0.02</v>
      </c>
      <c r="AC28" s="88">
        <v>0.01</v>
      </c>
      <c r="AD28" s="89">
        <f>SUMPRODUCT($V$12:$AC$12,V28:AC28)</f>
        <v>20.7</v>
      </c>
      <c r="AE28" s="90">
        <f>(SUMPRODUCT($V$12:$AC$12,V28:AC28))*$AE$12*U28</f>
        <v>622526.15317323303</v>
      </c>
      <c r="AF28" s="90">
        <f>AE28/$AF$12</f>
        <v>10375.43588622055</v>
      </c>
      <c r="AG28" s="91">
        <f>AF28*(1+$AG$12)</f>
        <v>12450.52306346466</v>
      </c>
      <c r="AJ28" s="13" t="s">
        <v>42</v>
      </c>
      <c r="AL28" s="84">
        <v>315825.51025488396</v>
      </c>
      <c r="AM28" s="87">
        <v>0.1</v>
      </c>
      <c r="AN28" s="92">
        <v>0.15</v>
      </c>
      <c r="AO28" s="87">
        <v>0.2</v>
      </c>
      <c r="AP28" s="87">
        <v>0.22</v>
      </c>
      <c r="AQ28" s="87">
        <v>0.2</v>
      </c>
      <c r="AR28" s="87">
        <v>0.1</v>
      </c>
      <c r="AS28" s="87">
        <v>0.02</v>
      </c>
      <c r="AT28" s="88">
        <v>0.01</v>
      </c>
      <c r="AU28" s="89">
        <f>SUMPRODUCT($AM$12:$AT$12,AM28:AT28)</f>
        <v>20.7</v>
      </c>
      <c r="AV28" s="90">
        <f>(SUMPRODUCT($AM$12:$AT$12,AM28:AT28))*$AV$12*AL28</f>
        <v>1307517.6124552195</v>
      </c>
      <c r="AW28" s="90">
        <f>AV28/$AW$12</f>
        <v>21791.960207586992</v>
      </c>
      <c r="AX28" s="91">
        <f>AW28*(1+$AX$12)</f>
        <v>26150.352249104388</v>
      </c>
    </row>
    <row r="29" spans="2:50" ht="15.75" customHeight="1" x14ac:dyDescent="0.25">
      <c r="B29" s="13" t="s">
        <v>43</v>
      </c>
      <c r="D29" s="84">
        <v>1448001.1505016722</v>
      </c>
      <c r="E29" s="87">
        <v>0.05</v>
      </c>
      <c r="F29" s="92">
        <v>0.05</v>
      </c>
      <c r="G29" s="87">
        <v>0.1</v>
      </c>
      <c r="H29" s="87">
        <v>0.1</v>
      </c>
      <c r="I29" s="87">
        <v>0.15</v>
      </c>
      <c r="J29" s="87">
        <v>0.2</v>
      </c>
      <c r="K29" s="87">
        <v>0.25</v>
      </c>
      <c r="L29" s="88">
        <v>0.1</v>
      </c>
      <c r="M29" s="89">
        <f>SUMPRODUCT($E$12:$L$12,E29:L29)</f>
        <v>137.27500000000001</v>
      </c>
      <c r="N29" s="90">
        <f>(SUMPRODUCT($E$12:$L$12,E29:L29))*$N$12*D29</f>
        <v>39754871.587023415</v>
      </c>
      <c r="O29" s="90">
        <f>N29/$O$12</f>
        <v>662581.19311705686</v>
      </c>
      <c r="P29" s="91">
        <f>O29*(1+$P$12)</f>
        <v>795097.43174046825</v>
      </c>
      <c r="S29" s="13" t="s">
        <v>43</v>
      </c>
      <c r="U29" s="84">
        <v>1492612.8447528156</v>
      </c>
      <c r="V29" s="87">
        <v>0.05</v>
      </c>
      <c r="W29" s="92">
        <v>0.05</v>
      </c>
      <c r="X29" s="87">
        <v>0.1</v>
      </c>
      <c r="Y29" s="87">
        <v>0.1</v>
      </c>
      <c r="Z29" s="87">
        <v>0.15</v>
      </c>
      <c r="AA29" s="87">
        <v>0.2</v>
      </c>
      <c r="AB29" s="87">
        <v>0.25</v>
      </c>
      <c r="AC29" s="88">
        <v>0.1</v>
      </c>
      <c r="AD29" s="89">
        <f>SUMPRODUCT($V$12:$AC$12,V29:AC29)</f>
        <v>137.27500000000001</v>
      </c>
      <c r="AE29" s="90">
        <f>(SUMPRODUCT($V$12:$AC$12,V29:AC29))*$AE$12*U29</f>
        <v>40979685.652688555</v>
      </c>
      <c r="AF29" s="90">
        <f>AE29/$AF$12</f>
        <v>682994.76087814255</v>
      </c>
      <c r="AG29" s="91">
        <f>AF29*(1+$AG$12)</f>
        <v>819593.71305377106</v>
      </c>
      <c r="AJ29" s="13" t="s">
        <v>43</v>
      </c>
      <c r="AL29" s="84">
        <v>1590863.746681252</v>
      </c>
      <c r="AM29" s="87">
        <v>0.05</v>
      </c>
      <c r="AN29" s="92">
        <v>0.05</v>
      </c>
      <c r="AO29" s="87">
        <v>0.1</v>
      </c>
      <c r="AP29" s="87">
        <v>0.1</v>
      </c>
      <c r="AQ29" s="87">
        <v>0.15</v>
      </c>
      <c r="AR29" s="87">
        <v>0.2</v>
      </c>
      <c r="AS29" s="87">
        <v>0.25</v>
      </c>
      <c r="AT29" s="88">
        <v>0.1</v>
      </c>
      <c r="AU29" s="89">
        <f>SUMPRODUCT($AM$12:$AT$12,AM29:AT29)</f>
        <v>137.27500000000001</v>
      </c>
      <c r="AV29" s="90">
        <f>(SUMPRODUCT($AM$12:$AT$12,AM29:AT29))*$AV$12*AL29</f>
        <v>43677164.165133774</v>
      </c>
      <c r="AW29" s="90">
        <f>AV29/$AW$12</f>
        <v>727952.73608556285</v>
      </c>
      <c r="AX29" s="91">
        <f>AW29*(1+$AX$12)</f>
        <v>873543.28330267535</v>
      </c>
    </row>
    <row r="30" spans="2:50" ht="15.75" customHeight="1" thickBot="1" x14ac:dyDescent="0.3">
      <c r="B30" s="103" t="s">
        <v>44</v>
      </c>
      <c r="D30" s="93">
        <v>60135.205479452059</v>
      </c>
      <c r="E30" s="94">
        <v>0.05</v>
      </c>
      <c r="F30" s="94">
        <v>0.13</v>
      </c>
      <c r="G30" s="95">
        <v>0.2</v>
      </c>
      <c r="H30" s="95">
        <v>0.25</v>
      </c>
      <c r="I30" s="95">
        <v>0.2</v>
      </c>
      <c r="J30" s="95">
        <v>0.1</v>
      </c>
      <c r="K30" s="95">
        <v>0.05</v>
      </c>
      <c r="L30" s="96">
        <v>0.02</v>
      </c>
      <c r="M30" s="97">
        <f>SUMPRODUCT($E$12:$L$12,E30:L30)</f>
        <v>33.805</v>
      </c>
      <c r="N30" s="98">
        <f>(SUMPRODUCT($E$12:$L$12,E30:L30))*$N$12*D30</f>
        <v>406574.1242465754</v>
      </c>
      <c r="O30" s="98">
        <f>N30/$O$12</f>
        <v>6776.2354041095905</v>
      </c>
      <c r="P30" s="99">
        <f>O30*(1+$P$12)</f>
        <v>8131.4824849315082</v>
      </c>
      <c r="S30" s="103" t="s">
        <v>44</v>
      </c>
      <c r="U30" s="93">
        <v>65669.147763698638</v>
      </c>
      <c r="V30" s="94">
        <v>0.05</v>
      </c>
      <c r="W30" s="94">
        <v>0.13</v>
      </c>
      <c r="X30" s="95">
        <v>0.2</v>
      </c>
      <c r="Y30" s="95">
        <v>0.25</v>
      </c>
      <c r="Z30" s="95">
        <v>0.2</v>
      </c>
      <c r="AA30" s="95">
        <v>0.1</v>
      </c>
      <c r="AB30" s="95">
        <v>0.05</v>
      </c>
      <c r="AC30" s="96">
        <v>0.02</v>
      </c>
      <c r="AD30" s="97">
        <f>SUMPRODUCT($V$12:$AC$12,V30:AC30)</f>
        <v>33.805</v>
      </c>
      <c r="AE30" s="98">
        <f>(SUMPRODUCT($V$12:$AC$12,V30:AC30))*$AE$12*U30</f>
        <v>443989.10803036648</v>
      </c>
      <c r="AF30" s="98">
        <f>AE30/$AF$12</f>
        <v>7399.8184671727749</v>
      </c>
      <c r="AG30" s="99">
        <f>AF30*(1+$AG$12)</f>
        <v>8879.7821606073303</v>
      </c>
      <c r="AJ30" s="103" t="s">
        <v>44</v>
      </c>
      <c r="AL30" s="93">
        <v>82228.014316707922</v>
      </c>
      <c r="AM30" s="94">
        <v>0.05</v>
      </c>
      <c r="AN30" s="94">
        <v>0.13</v>
      </c>
      <c r="AO30" s="95">
        <v>0.2</v>
      </c>
      <c r="AP30" s="95">
        <v>0.25</v>
      </c>
      <c r="AQ30" s="95">
        <v>0.2</v>
      </c>
      <c r="AR30" s="95">
        <v>0.1</v>
      </c>
      <c r="AS30" s="95">
        <v>0.05</v>
      </c>
      <c r="AT30" s="96">
        <v>0.02</v>
      </c>
      <c r="AU30" s="97">
        <f>SUMPRODUCT($AM$12:$AT$12,AM30:AT30)</f>
        <v>33.805</v>
      </c>
      <c r="AV30" s="98">
        <f>(SUMPRODUCT($AM$12:$AT$12,AM30:AT30))*$AV$12*AL30</f>
        <v>555943.60479526222</v>
      </c>
      <c r="AW30" s="98">
        <f>AV30/$AW$12</f>
        <v>9265.726746587703</v>
      </c>
      <c r="AX30" s="99">
        <f>AW30*(1+$AX$12)</f>
        <v>11118.872095905243</v>
      </c>
    </row>
    <row r="31" spans="2:50" ht="15.75" customHeight="1" x14ac:dyDescent="0.25">
      <c r="B31" s="104" t="s">
        <v>182</v>
      </c>
      <c r="D31" s="100">
        <f>SUM(D14:D30)</f>
        <v>3264967.6306500197</v>
      </c>
      <c r="M31" s="8"/>
      <c r="N31" s="100">
        <f>SUM(N14:N30)</f>
        <v>51941763.327259183</v>
      </c>
      <c r="O31" s="101">
        <f>N31/$O$12</f>
        <v>865696.05545431969</v>
      </c>
      <c r="P31" s="101">
        <f>O31*(1+$P$12)</f>
        <v>1038835.2665451836</v>
      </c>
      <c r="S31" s="104" t="s">
        <v>182</v>
      </c>
      <c r="U31" s="100">
        <f>SUM(U14:U30)</f>
        <v>3922274.1557109808</v>
      </c>
      <c r="AD31" s="8"/>
      <c r="AE31" s="100">
        <f>SUM(AE14:AE30)</f>
        <v>57275270.144793972</v>
      </c>
      <c r="AF31" s="101">
        <f>AE31/$AF$12</f>
        <v>954587.83574656618</v>
      </c>
      <c r="AG31" s="101">
        <f>AF31*(1+$AG$12)</f>
        <v>1145505.4028958795</v>
      </c>
      <c r="AJ31" s="104" t="s">
        <v>182</v>
      </c>
      <c r="AL31" s="100">
        <f>SUM(AL14:AL30)</f>
        <v>6638282.9795952346</v>
      </c>
      <c r="AU31" s="8"/>
      <c r="AV31" s="100">
        <f>SUM(AV14:AV30)</f>
        <v>77526873.894521743</v>
      </c>
      <c r="AW31" s="101">
        <f>AV31/$AW$12</f>
        <v>1292114.5649086956</v>
      </c>
      <c r="AX31" s="101">
        <f>AW31*(1+$AX$12)</f>
        <v>1550537.4778904347</v>
      </c>
    </row>
    <row r="32" spans="2:50" ht="15" customHeight="1" x14ac:dyDescent="0.25">
      <c r="M32" s="8"/>
      <c r="N32" s="8">
        <f>N31/D31</f>
        <v>15.908814176181631</v>
      </c>
      <c r="O32" s="8">
        <f>N32/$O$12</f>
        <v>0.26514690293636051</v>
      </c>
      <c r="P32" s="8">
        <f>O32*(1+$P$12)</f>
        <v>0.31817628352363259</v>
      </c>
      <c r="AD32" s="8"/>
      <c r="AE32" s="8">
        <f>AE31/U31</f>
        <v>14.602566743428426</v>
      </c>
      <c r="AF32" s="8">
        <f>AE32/$AF$12</f>
        <v>0.24337611239047377</v>
      </c>
      <c r="AG32" s="8">
        <f>AF32*(1+$AG$12)</f>
        <v>0.29205133486856849</v>
      </c>
      <c r="AU32" s="8"/>
      <c r="AV32" s="8">
        <f>AV31/AL31</f>
        <v>11.678753999012091</v>
      </c>
      <c r="AW32" s="8">
        <f>AV32/$AW$12</f>
        <v>0.19464589998353485</v>
      </c>
      <c r="AX32" s="8">
        <f>AW32*(1+$AX$12)</f>
        <v>0.2335750799802418</v>
      </c>
    </row>
    <row r="36" spans="2:50" ht="15" customHeight="1" x14ac:dyDescent="0.25">
      <c r="C36">
        <v>2023</v>
      </c>
      <c r="T36">
        <v>2025</v>
      </c>
      <c r="AK36">
        <v>2030</v>
      </c>
    </row>
    <row r="37" spans="2:50" ht="20.100000000000001" customHeight="1" x14ac:dyDescent="0.25">
      <c r="C37" s="102" t="s">
        <v>11</v>
      </c>
      <c r="T37" s="102" t="s">
        <v>11</v>
      </c>
      <c r="AK37" s="102" t="s">
        <v>11</v>
      </c>
    </row>
    <row r="38" spans="2:50" ht="15" customHeight="1" thickBot="1" x14ac:dyDescent="0.3"/>
    <row r="39" spans="2:50" ht="55.35" customHeight="1" thickBot="1" x14ac:dyDescent="0.3">
      <c r="B39" s="138" t="s">
        <v>5</v>
      </c>
      <c r="C39" s="8"/>
      <c r="D39" s="140" t="s">
        <v>46</v>
      </c>
      <c r="E39" s="142" t="s">
        <v>25</v>
      </c>
      <c r="F39" s="143"/>
      <c r="G39" s="143"/>
      <c r="H39" s="143"/>
      <c r="I39" s="143"/>
      <c r="J39" s="143"/>
      <c r="K39" s="143"/>
      <c r="L39" s="144"/>
      <c r="M39" s="145" t="s">
        <v>6</v>
      </c>
      <c r="N39" s="9" t="s">
        <v>7</v>
      </c>
      <c r="O39" s="9" t="s">
        <v>8</v>
      </c>
      <c r="P39" s="9" t="s">
        <v>9</v>
      </c>
      <c r="S39" s="138" t="s">
        <v>5</v>
      </c>
      <c r="T39" s="8"/>
      <c r="U39" s="140" t="s">
        <v>46</v>
      </c>
      <c r="V39" s="142" t="s">
        <v>25</v>
      </c>
      <c r="W39" s="143"/>
      <c r="X39" s="143"/>
      <c r="Y39" s="143"/>
      <c r="Z39" s="143"/>
      <c r="AA39" s="143"/>
      <c r="AB39" s="143"/>
      <c r="AC39" s="144"/>
      <c r="AD39" s="145" t="s">
        <v>6</v>
      </c>
      <c r="AE39" s="9" t="s">
        <v>7</v>
      </c>
      <c r="AF39" s="9" t="s">
        <v>8</v>
      </c>
      <c r="AG39" s="9" t="s">
        <v>9</v>
      </c>
      <c r="AJ39" s="138" t="s">
        <v>5</v>
      </c>
      <c r="AK39" s="8"/>
      <c r="AL39" s="140" t="s">
        <v>46</v>
      </c>
      <c r="AM39" s="142" t="s">
        <v>25</v>
      </c>
      <c r="AN39" s="143"/>
      <c r="AO39" s="143"/>
      <c r="AP39" s="143"/>
      <c r="AQ39" s="143"/>
      <c r="AR39" s="143"/>
      <c r="AS39" s="143"/>
      <c r="AT39" s="144"/>
      <c r="AU39" s="145" t="s">
        <v>6</v>
      </c>
      <c r="AV39" s="9" t="s">
        <v>7</v>
      </c>
      <c r="AW39" s="9" t="s">
        <v>8</v>
      </c>
      <c r="AX39" s="9" t="s">
        <v>9</v>
      </c>
    </row>
    <row r="40" spans="2:50" ht="16.5" customHeight="1" thickBot="1" x14ac:dyDescent="0.3">
      <c r="B40" s="139"/>
      <c r="C40" s="8"/>
      <c r="D40" s="141"/>
      <c r="E40" s="10">
        <v>0.5</v>
      </c>
      <c r="F40" s="10">
        <v>1</v>
      </c>
      <c r="G40" s="10">
        <v>2</v>
      </c>
      <c r="H40" s="10">
        <v>5</v>
      </c>
      <c r="I40" s="10">
        <v>10</v>
      </c>
      <c r="J40" s="10">
        <v>50</v>
      </c>
      <c r="K40" s="10">
        <v>100</v>
      </c>
      <c r="L40" s="10">
        <v>1000</v>
      </c>
      <c r="M40" s="146"/>
      <c r="N40" s="59">
        <f>'Network Parameters'!$C$8</f>
        <v>0.2</v>
      </c>
      <c r="O40" s="60">
        <f>'Network Parameters'!$C$9</f>
        <v>60</v>
      </c>
      <c r="P40" s="61">
        <f>'Network Parameters'!$C$10</f>
        <v>0.2</v>
      </c>
      <c r="S40" s="139"/>
      <c r="T40" s="8"/>
      <c r="U40" s="141"/>
      <c r="V40" s="10">
        <v>0.5</v>
      </c>
      <c r="W40" s="10">
        <v>1</v>
      </c>
      <c r="X40" s="10">
        <v>2</v>
      </c>
      <c r="Y40" s="10">
        <v>5</v>
      </c>
      <c r="Z40" s="10">
        <v>10</v>
      </c>
      <c r="AA40" s="10">
        <v>50</v>
      </c>
      <c r="AB40" s="10">
        <v>100</v>
      </c>
      <c r="AC40" s="10">
        <v>1000</v>
      </c>
      <c r="AD40" s="146"/>
      <c r="AE40" s="59">
        <f>'Network Parameters'!$C$8</f>
        <v>0.2</v>
      </c>
      <c r="AF40" s="60">
        <f>'Network Parameters'!$C$9</f>
        <v>60</v>
      </c>
      <c r="AG40" s="61">
        <f>'Network Parameters'!$C$10</f>
        <v>0.2</v>
      </c>
      <c r="AJ40" s="139"/>
      <c r="AK40" s="8"/>
      <c r="AL40" s="141"/>
      <c r="AM40" s="10">
        <v>0.5</v>
      </c>
      <c r="AN40" s="10">
        <v>1</v>
      </c>
      <c r="AO40" s="10">
        <v>2</v>
      </c>
      <c r="AP40" s="10">
        <v>5</v>
      </c>
      <c r="AQ40" s="10">
        <v>10</v>
      </c>
      <c r="AR40" s="10">
        <v>50</v>
      </c>
      <c r="AS40" s="10">
        <v>100</v>
      </c>
      <c r="AT40" s="10">
        <v>1000</v>
      </c>
      <c r="AU40" s="146"/>
      <c r="AV40" s="59">
        <f>'Network Parameters'!$C$8</f>
        <v>0.2</v>
      </c>
      <c r="AW40" s="60">
        <f>'Network Parameters'!$C$9</f>
        <v>60</v>
      </c>
      <c r="AX40" s="61">
        <f>'Network Parameters'!$C$10</f>
        <v>0.2</v>
      </c>
    </row>
    <row r="41" spans="2:50" ht="15" customHeight="1" thickBot="1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</row>
    <row r="42" spans="2:50" ht="41.25" customHeight="1" x14ac:dyDescent="0.25">
      <c r="B42" s="13" t="s">
        <v>32</v>
      </c>
      <c r="D42" s="77">
        <v>34535.600000000006</v>
      </c>
      <c r="E42" s="78">
        <v>0.3</v>
      </c>
      <c r="F42" s="78">
        <v>0.3</v>
      </c>
      <c r="G42" s="78">
        <v>0.25</v>
      </c>
      <c r="H42" s="79">
        <v>0.05</v>
      </c>
      <c r="I42" s="78">
        <v>0.05</v>
      </c>
      <c r="J42" s="78">
        <v>0.02</v>
      </c>
      <c r="K42" s="78">
        <v>0.02</v>
      </c>
      <c r="L42" s="80">
        <v>0.01</v>
      </c>
      <c r="M42" s="81">
        <f>SUMPRODUCT($E$40:$L$40,E42:L42)</f>
        <v>14.7</v>
      </c>
      <c r="N42" s="82">
        <f>(SUMPRODUCT($E$40:$L$40,E42:L42))*$N$40*D42</f>
        <v>101534.66400000002</v>
      </c>
      <c r="O42" s="82">
        <f>N42/$O$40</f>
        <v>1692.2444000000003</v>
      </c>
      <c r="P42" s="83">
        <f>O42*(1+$P$40)</f>
        <v>2030.6932800000002</v>
      </c>
      <c r="S42" s="13" t="s">
        <v>32</v>
      </c>
      <c r="U42" s="77">
        <v>46471.103360000008</v>
      </c>
      <c r="V42" s="78">
        <v>0.3</v>
      </c>
      <c r="W42" s="78">
        <v>0.3</v>
      </c>
      <c r="X42" s="78">
        <v>0.25</v>
      </c>
      <c r="Y42" s="79">
        <v>0.05</v>
      </c>
      <c r="Z42" s="78">
        <v>0.05</v>
      </c>
      <c r="AA42" s="78">
        <v>0.02</v>
      </c>
      <c r="AB42" s="78">
        <v>0.02</v>
      </c>
      <c r="AC42" s="80">
        <v>0.01</v>
      </c>
      <c r="AD42" s="81">
        <f>SUMPRODUCT($V$40:$AC$40,V42:AC42)</f>
        <v>14.7</v>
      </c>
      <c r="AE42" s="82">
        <f>(SUMPRODUCT($V$40:$AC$40,V42:AC42))*$AE$40*U42</f>
        <v>136625.04387840003</v>
      </c>
      <c r="AF42" s="82">
        <f>AE42/$AF$40</f>
        <v>2277.0840646400006</v>
      </c>
      <c r="AG42" s="83">
        <f>AF42*(1+$AG$40)</f>
        <v>2732.5008775680008</v>
      </c>
      <c r="AJ42" s="13" t="s">
        <v>32</v>
      </c>
      <c r="AL42" s="77">
        <v>97605.194261643323</v>
      </c>
      <c r="AM42" s="78">
        <v>0.3</v>
      </c>
      <c r="AN42" s="78">
        <v>0.3</v>
      </c>
      <c r="AO42" s="78">
        <v>0.25</v>
      </c>
      <c r="AP42" s="79">
        <v>0.05</v>
      </c>
      <c r="AQ42" s="78">
        <v>0.05</v>
      </c>
      <c r="AR42" s="78">
        <v>0.02</v>
      </c>
      <c r="AS42" s="78">
        <v>0.02</v>
      </c>
      <c r="AT42" s="80">
        <v>0.01</v>
      </c>
      <c r="AU42" s="81">
        <f>SUMPRODUCT($AM$40:$AT$40,AM42:AT42)</f>
        <v>14.7</v>
      </c>
      <c r="AV42" s="82">
        <f>(SUMPRODUCT($AM$40:$AT$40,AM42:AT42))*$AV$40*AL42</f>
        <v>286959.27112923138</v>
      </c>
      <c r="AW42" s="82">
        <f>AV42/$AW$40</f>
        <v>4782.6545188205228</v>
      </c>
      <c r="AX42" s="83">
        <f>AW42*(1+$AX$40)</f>
        <v>5739.1854225846273</v>
      </c>
    </row>
    <row r="43" spans="2:50" ht="15.75" customHeight="1" x14ac:dyDescent="0.25">
      <c r="B43" s="13" t="s">
        <v>33</v>
      </c>
      <c r="D43" s="84">
        <v>4489.6280000000006</v>
      </c>
      <c r="E43" s="85">
        <v>0.3</v>
      </c>
      <c r="F43" s="85">
        <v>0.3</v>
      </c>
      <c r="G43" s="86">
        <v>0.2</v>
      </c>
      <c r="H43" s="87">
        <v>0.05</v>
      </c>
      <c r="I43" s="87">
        <v>0.1</v>
      </c>
      <c r="J43" s="87">
        <v>0.02</v>
      </c>
      <c r="K43" s="87">
        <v>0.02</v>
      </c>
      <c r="L43" s="88">
        <v>0.01</v>
      </c>
      <c r="M43" s="89">
        <f>SUMPRODUCT($E$40:$L$40,E43:L43)</f>
        <v>15.1</v>
      </c>
      <c r="N43" s="90">
        <f>(SUMPRODUCT($E$40:$L$40,E43:L43))*$N$40*D43</f>
        <v>13558.676560000002</v>
      </c>
      <c r="O43" s="90">
        <f>N43/$O$40</f>
        <v>225.97794266666671</v>
      </c>
      <c r="P43" s="91">
        <f>O43*(1+$P$40)</f>
        <v>271.17353120000001</v>
      </c>
      <c r="S43" s="13" t="s">
        <v>33</v>
      </c>
      <c r="U43" s="84">
        <v>6041.2434368000004</v>
      </c>
      <c r="V43" s="85">
        <v>0.3</v>
      </c>
      <c r="W43" s="85">
        <v>0.3</v>
      </c>
      <c r="X43" s="86">
        <v>0.2</v>
      </c>
      <c r="Y43" s="87">
        <v>0.05</v>
      </c>
      <c r="Z43" s="87">
        <v>0.1</v>
      </c>
      <c r="AA43" s="87">
        <v>0.02</v>
      </c>
      <c r="AB43" s="87">
        <v>0.02</v>
      </c>
      <c r="AC43" s="88">
        <v>0.01</v>
      </c>
      <c r="AD43" s="89">
        <f>SUMPRODUCT($V$40:$AC$40,V43:AC43)</f>
        <v>15.1</v>
      </c>
      <c r="AE43" s="90">
        <f>(SUMPRODUCT($V$40:$AC$40,V43:AC43))*$AE$40*U43</f>
        <v>18244.555179136001</v>
      </c>
      <c r="AF43" s="90">
        <f>AE43/$AF$40</f>
        <v>304.07591965226669</v>
      </c>
      <c r="AG43" s="91">
        <f>AF43*(1+$AG$40)</f>
        <v>364.89110358272001</v>
      </c>
      <c r="AJ43" s="13" t="s">
        <v>33</v>
      </c>
      <c r="AL43" s="84">
        <v>12688.675254013631</v>
      </c>
      <c r="AM43" s="85">
        <v>0.3</v>
      </c>
      <c r="AN43" s="85">
        <v>0.3</v>
      </c>
      <c r="AO43" s="86">
        <v>0.2</v>
      </c>
      <c r="AP43" s="87">
        <v>0.05</v>
      </c>
      <c r="AQ43" s="87">
        <v>0.1</v>
      </c>
      <c r="AR43" s="87">
        <v>0.02</v>
      </c>
      <c r="AS43" s="87">
        <v>0.02</v>
      </c>
      <c r="AT43" s="88">
        <v>0.01</v>
      </c>
      <c r="AU43" s="89">
        <f>SUMPRODUCT($AM$40:$AT$40,AM43:AT43)</f>
        <v>15.1</v>
      </c>
      <c r="AV43" s="90">
        <f>(SUMPRODUCT($AM$40:$AT$40,AM43:AT43))*$AV$40*AL43</f>
        <v>38319.799267121169</v>
      </c>
      <c r="AW43" s="90">
        <f>AV43/$AW$40</f>
        <v>638.6633211186861</v>
      </c>
      <c r="AX43" s="91">
        <f>AW43*(1+$AX$40)</f>
        <v>766.39598534242327</v>
      </c>
    </row>
    <row r="44" spans="2:50" ht="15.75" customHeight="1" x14ac:dyDescent="0.25">
      <c r="B44" s="13" t="s">
        <v>1</v>
      </c>
      <c r="D44" s="84">
        <v>31772.752</v>
      </c>
      <c r="E44" s="87">
        <v>0.05</v>
      </c>
      <c r="F44" s="92">
        <v>0.15</v>
      </c>
      <c r="G44" s="87">
        <v>0.15</v>
      </c>
      <c r="H44" s="87">
        <v>0.25</v>
      </c>
      <c r="I44" s="87">
        <v>0.22</v>
      </c>
      <c r="J44" s="87">
        <v>0.1</v>
      </c>
      <c r="K44" s="87">
        <v>0.05</v>
      </c>
      <c r="L44" s="88">
        <v>0.03</v>
      </c>
      <c r="M44" s="89">
        <f>SUMPRODUCT($E$40:$L$40,E44:L44)</f>
        <v>43.924999999999997</v>
      </c>
      <c r="N44" s="90">
        <f>(SUMPRODUCT($E$40:$L$40,E44:L44))*$N$40*D44</f>
        <v>279123.62631999998</v>
      </c>
      <c r="O44" s="90">
        <f>N44/$O$40</f>
        <v>4652.0604386666664</v>
      </c>
      <c r="P44" s="91">
        <f>O44*(1+$P$40)</f>
        <v>5582.4725263999999</v>
      </c>
      <c r="S44" s="13" t="s">
        <v>1</v>
      </c>
      <c r="U44" s="84">
        <v>42753.415091199997</v>
      </c>
      <c r="V44" s="87">
        <v>0.05</v>
      </c>
      <c r="W44" s="92">
        <v>0.15</v>
      </c>
      <c r="X44" s="87">
        <v>0.15</v>
      </c>
      <c r="Y44" s="87">
        <v>0.25</v>
      </c>
      <c r="Z44" s="87">
        <v>0.22</v>
      </c>
      <c r="AA44" s="87">
        <v>0.1</v>
      </c>
      <c r="AB44" s="87">
        <v>0.05</v>
      </c>
      <c r="AC44" s="88">
        <v>0.03</v>
      </c>
      <c r="AD44" s="89">
        <f>SUMPRODUCT($V$40:$AC$40,V44:AC44)</f>
        <v>43.924999999999997</v>
      </c>
      <c r="AE44" s="90">
        <f>(SUMPRODUCT($V$40:$AC$40,V44:AC44))*$AE$40*U44</f>
        <v>375588.75157619198</v>
      </c>
      <c r="AF44" s="90">
        <f>AE44/$AF$40</f>
        <v>6259.8125262698659</v>
      </c>
      <c r="AG44" s="91">
        <f>AF44*(1+$AG$40)</f>
        <v>7511.7750315238391</v>
      </c>
      <c r="AJ44" s="13" t="s">
        <v>1</v>
      </c>
      <c r="AL44" s="84">
        <v>89796.778720711838</v>
      </c>
      <c r="AM44" s="87">
        <v>0.05</v>
      </c>
      <c r="AN44" s="92">
        <v>0.15</v>
      </c>
      <c r="AO44" s="87">
        <v>0.15</v>
      </c>
      <c r="AP44" s="87">
        <v>0.25</v>
      </c>
      <c r="AQ44" s="87">
        <v>0.22</v>
      </c>
      <c r="AR44" s="87">
        <v>0.1</v>
      </c>
      <c r="AS44" s="87">
        <v>0.05</v>
      </c>
      <c r="AT44" s="88">
        <v>0.03</v>
      </c>
      <c r="AU44" s="89">
        <f>SUMPRODUCT($AM$40:$AT$40,AM44:AT44)</f>
        <v>43.924999999999997</v>
      </c>
      <c r="AV44" s="90">
        <f>(SUMPRODUCT($AM$40:$AT$40,AM44:AT44))*$AV$40*AL44</f>
        <v>788864.70106145355</v>
      </c>
      <c r="AW44" s="90">
        <f>AV44/$AW$40</f>
        <v>13147.745017690893</v>
      </c>
      <c r="AX44" s="91">
        <f>AW44*(1+$AX$40)</f>
        <v>15777.29402122907</v>
      </c>
    </row>
    <row r="45" spans="2:50" ht="15.75" customHeight="1" x14ac:dyDescent="0.25">
      <c r="B45" s="13" t="s">
        <v>0</v>
      </c>
      <c r="D45" s="84">
        <v>25901.7</v>
      </c>
      <c r="E45" s="87">
        <v>0.2</v>
      </c>
      <c r="F45" s="92">
        <v>0.25</v>
      </c>
      <c r="G45" s="87">
        <v>0.3</v>
      </c>
      <c r="H45" s="87">
        <v>0.15</v>
      </c>
      <c r="I45" s="87">
        <v>0.05</v>
      </c>
      <c r="J45" s="87">
        <v>0.02</v>
      </c>
      <c r="K45" s="87">
        <v>0.02</v>
      </c>
      <c r="L45" s="88">
        <v>0.01</v>
      </c>
      <c r="M45" s="89">
        <f>SUMPRODUCT($E$40:$L$40,E45:L45)</f>
        <v>15.2</v>
      </c>
      <c r="N45" s="90">
        <f>(SUMPRODUCT($E$40:$L$40,E45:L45))*$N$40*D45</f>
        <v>78741.168000000005</v>
      </c>
      <c r="O45" s="90">
        <f>N45/$O$40</f>
        <v>1312.3528000000001</v>
      </c>
      <c r="P45" s="91">
        <f>O45*(1+$P$40)</f>
        <v>1574.8233600000001</v>
      </c>
      <c r="S45" s="13" t="s">
        <v>0</v>
      </c>
      <c r="U45" s="84">
        <v>34853.327519999999</v>
      </c>
      <c r="V45" s="87">
        <v>0.2</v>
      </c>
      <c r="W45" s="92">
        <v>0.25</v>
      </c>
      <c r="X45" s="87">
        <v>0.3</v>
      </c>
      <c r="Y45" s="87">
        <v>0.15</v>
      </c>
      <c r="Z45" s="87">
        <v>0.05</v>
      </c>
      <c r="AA45" s="87">
        <v>0.02</v>
      </c>
      <c r="AB45" s="87">
        <v>0.02</v>
      </c>
      <c r="AC45" s="88">
        <v>0.01</v>
      </c>
      <c r="AD45" s="89">
        <f>SUMPRODUCT($V$40:$AC$40,V45:AC45)</f>
        <v>15.2</v>
      </c>
      <c r="AE45" s="90">
        <f>(SUMPRODUCT($V$40:$AC$40,V45:AC45))*$AE$40*U45</f>
        <v>105954.1156608</v>
      </c>
      <c r="AF45" s="90">
        <f>AE45/$AF$40</f>
        <v>1765.90192768</v>
      </c>
      <c r="AG45" s="91">
        <f>AF45*(1+$AG$40)</f>
        <v>2119.0823132159999</v>
      </c>
      <c r="AJ45" s="13" t="s">
        <v>0</v>
      </c>
      <c r="AL45" s="84">
        <v>73203.895696232474</v>
      </c>
      <c r="AM45" s="87">
        <v>0.2</v>
      </c>
      <c r="AN45" s="92">
        <v>0.25</v>
      </c>
      <c r="AO45" s="87">
        <v>0.3</v>
      </c>
      <c r="AP45" s="87">
        <v>0.15</v>
      </c>
      <c r="AQ45" s="87">
        <v>0.05</v>
      </c>
      <c r="AR45" s="87">
        <v>0.02</v>
      </c>
      <c r="AS45" s="87">
        <v>0.02</v>
      </c>
      <c r="AT45" s="88">
        <v>0.01</v>
      </c>
      <c r="AU45" s="89">
        <f>SUMPRODUCT($AM$40:$AT$40,AM45:AT45)</f>
        <v>15.2</v>
      </c>
      <c r="AV45" s="90">
        <f>(SUMPRODUCT($AM$40:$AT$40,AM45:AT45))*$AV$40*AL45</f>
        <v>222539.84291654671</v>
      </c>
      <c r="AW45" s="90">
        <f>AV45/$AW$40</f>
        <v>3708.9973819424454</v>
      </c>
      <c r="AX45" s="91">
        <f>AW45*(1+$AX$40)</f>
        <v>4450.7968583309339</v>
      </c>
    </row>
    <row r="46" spans="2:50" ht="15.75" customHeight="1" x14ac:dyDescent="0.25">
      <c r="B46" s="13" t="s">
        <v>34</v>
      </c>
      <c r="D46" s="84">
        <v>41788.076000000001</v>
      </c>
      <c r="E46" s="87">
        <v>0.05</v>
      </c>
      <c r="F46" s="92">
        <v>0.15</v>
      </c>
      <c r="G46" s="87">
        <v>0.2</v>
      </c>
      <c r="H46" s="87">
        <v>0.24</v>
      </c>
      <c r="I46" s="87">
        <v>0.15</v>
      </c>
      <c r="J46" s="87">
        <v>0.15</v>
      </c>
      <c r="K46" s="87">
        <v>0.05</v>
      </c>
      <c r="L46" s="88">
        <v>0.01</v>
      </c>
      <c r="M46" s="89">
        <f>SUMPRODUCT($E$40:$L$40,E46:L46)</f>
        <v>25.774999999999999</v>
      </c>
      <c r="N46" s="90">
        <f>(SUMPRODUCT($E$40:$L$40,E46:L46))*$N$40*D46</f>
        <v>215417.53178000002</v>
      </c>
      <c r="O46" s="90">
        <f>N46/$O$40</f>
        <v>3590.2921963333338</v>
      </c>
      <c r="P46" s="91">
        <f>O46*(1+$P$40)</f>
        <v>4308.3506356000007</v>
      </c>
      <c r="S46" s="13" t="s">
        <v>34</v>
      </c>
      <c r="U46" s="84">
        <v>56230.035065600001</v>
      </c>
      <c r="V46" s="87">
        <v>0.05</v>
      </c>
      <c r="W46" s="92">
        <v>0.15</v>
      </c>
      <c r="X46" s="87">
        <v>0.2</v>
      </c>
      <c r="Y46" s="87">
        <v>0.24</v>
      </c>
      <c r="Z46" s="87">
        <v>0.15</v>
      </c>
      <c r="AA46" s="87">
        <v>0.15</v>
      </c>
      <c r="AB46" s="87">
        <v>0.05</v>
      </c>
      <c r="AC46" s="88">
        <v>0.01</v>
      </c>
      <c r="AD46" s="89">
        <f>SUMPRODUCT($V$40:$AC$40,V46:AC46)</f>
        <v>25.774999999999999</v>
      </c>
      <c r="AE46" s="90">
        <f>(SUMPRODUCT($V$40:$AC$40,V46:AC46))*$AE$40*U46</f>
        <v>289865.83076316799</v>
      </c>
      <c r="AF46" s="90">
        <f>AE46/$AF$40</f>
        <v>4831.0971793861336</v>
      </c>
      <c r="AG46" s="91">
        <f>AF46*(1+$AG$40)</f>
        <v>5797.3166152633603</v>
      </c>
      <c r="AJ46" s="13" t="s">
        <v>34</v>
      </c>
      <c r="AL46" s="84">
        <v>118102.2850565884</v>
      </c>
      <c r="AM46" s="87">
        <v>0.05</v>
      </c>
      <c r="AN46" s="92">
        <v>0.15</v>
      </c>
      <c r="AO46" s="87">
        <v>0.2</v>
      </c>
      <c r="AP46" s="87">
        <v>0.24</v>
      </c>
      <c r="AQ46" s="87">
        <v>0.15</v>
      </c>
      <c r="AR46" s="87">
        <v>0.15</v>
      </c>
      <c r="AS46" s="87">
        <v>0.05</v>
      </c>
      <c r="AT46" s="88">
        <v>0.01</v>
      </c>
      <c r="AU46" s="89">
        <f>SUMPRODUCT($AM$40:$AT$40,AM46:AT46)</f>
        <v>25.774999999999999</v>
      </c>
      <c r="AV46" s="90">
        <f>(SUMPRODUCT($AM$40:$AT$40,AM46:AT46))*$AV$40*AL46</f>
        <v>608817.2794667132</v>
      </c>
      <c r="AW46" s="90">
        <f>AV46/$AW$40</f>
        <v>10146.954657778553</v>
      </c>
      <c r="AX46" s="91">
        <f>AW46*(1+$AX$40)</f>
        <v>12176.345589334263</v>
      </c>
    </row>
    <row r="47" spans="2:50" ht="15.75" customHeight="1" x14ac:dyDescent="0.25">
      <c r="B47" s="13" t="s">
        <v>35</v>
      </c>
      <c r="D47" s="84">
        <v>14159.595999999998</v>
      </c>
      <c r="E47" s="87">
        <v>0.12</v>
      </c>
      <c r="F47" s="92">
        <v>0.1</v>
      </c>
      <c r="G47" s="87">
        <v>0.1</v>
      </c>
      <c r="H47" s="87">
        <v>0.2</v>
      </c>
      <c r="I47" s="87">
        <v>0.3</v>
      </c>
      <c r="J47" s="87">
        <v>0.1</v>
      </c>
      <c r="K47" s="87">
        <v>0.05</v>
      </c>
      <c r="L47" s="88">
        <v>0.03</v>
      </c>
      <c r="M47" s="89">
        <f>SUMPRODUCT($E$40:$L$40,E47:L47)</f>
        <v>44.36</v>
      </c>
      <c r="N47" s="90">
        <f>(SUMPRODUCT($E$40:$L$40,E47:L47))*$N$40*D47</f>
        <v>125623.93571199998</v>
      </c>
      <c r="O47" s="90">
        <f>N47/$O$40</f>
        <v>2093.7322618666662</v>
      </c>
      <c r="P47" s="91">
        <f>O47*(1+$P$40)</f>
        <v>2512.4787142399996</v>
      </c>
      <c r="S47" s="13" t="s">
        <v>35</v>
      </c>
      <c r="U47" s="84">
        <v>19053.152377599996</v>
      </c>
      <c r="V47" s="87">
        <v>0.12</v>
      </c>
      <c r="W47" s="92">
        <v>0.1</v>
      </c>
      <c r="X47" s="87">
        <v>0.1</v>
      </c>
      <c r="Y47" s="87">
        <v>0.2</v>
      </c>
      <c r="Z47" s="87">
        <v>0.3</v>
      </c>
      <c r="AA47" s="87">
        <v>0.1</v>
      </c>
      <c r="AB47" s="87">
        <v>0.05</v>
      </c>
      <c r="AC47" s="88">
        <v>0.03</v>
      </c>
      <c r="AD47" s="89">
        <f>SUMPRODUCT($V$40:$AC$40,V47:AC47)</f>
        <v>44.36</v>
      </c>
      <c r="AE47" s="90">
        <f>(SUMPRODUCT($V$40:$AC$40,V47:AC47))*$AE$40*U47</f>
        <v>169039.56789406715</v>
      </c>
      <c r="AF47" s="90">
        <f>AE47/$AF$40</f>
        <v>2817.326131567786</v>
      </c>
      <c r="AG47" s="91">
        <f>AF47*(1+$AG$40)</f>
        <v>3380.7913578813432</v>
      </c>
      <c r="AJ47" s="13" t="s">
        <v>35</v>
      </c>
      <c r="AL47" s="84">
        <v>40018.129647273745</v>
      </c>
      <c r="AM47" s="87">
        <v>0.12</v>
      </c>
      <c r="AN47" s="92">
        <v>0.1</v>
      </c>
      <c r="AO47" s="87">
        <v>0.1</v>
      </c>
      <c r="AP47" s="87">
        <v>0.2</v>
      </c>
      <c r="AQ47" s="87">
        <v>0.3</v>
      </c>
      <c r="AR47" s="87">
        <v>0.1</v>
      </c>
      <c r="AS47" s="87">
        <v>0.05</v>
      </c>
      <c r="AT47" s="88">
        <v>0.03</v>
      </c>
      <c r="AU47" s="89">
        <f>SUMPRODUCT($AM$40:$AT$40,AM47:AT47)</f>
        <v>44.36</v>
      </c>
      <c r="AV47" s="90">
        <f>(SUMPRODUCT($AM$40:$AT$40,AM47:AT47))*$AV$40*AL47</f>
        <v>355040.84623061266</v>
      </c>
      <c r="AW47" s="90">
        <f>AV47/$AW$40</f>
        <v>5917.347437176878</v>
      </c>
      <c r="AX47" s="91">
        <f>AW47*(1+$AX$40)</f>
        <v>7100.8169246122534</v>
      </c>
    </row>
    <row r="48" spans="2:50" ht="31.5" customHeight="1" x14ac:dyDescent="0.25">
      <c r="B48" s="13" t="s">
        <v>36</v>
      </c>
      <c r="D48" s="84">
        <v>10360.68</v>
      </c>
      <c r="E48" s="87">
        <v>0.05</v>
      </c>
      <c r="F48" s="92">
        <v>0.2</v>
      </c>
      <c r="G48" s="87">
        <v>0.3</v>
      </c>
      <c r="H48" s="87">
        <v>0.15</v>
      </c>
      <c r="I48" s="87">
        <v>0.14000000000000001</v>
      </c>
      <c r="J48" s="87">
        <v>0.1</v>
      </c>
      <c r="K48" s="87">
        <v>0.05</v>
      </c>
      <c r="L48" s="88">
        <v>0.01</v>
      </c>
      <c r="M48" s="89">
        <f>SUMPRODUCT($E$40:$L$40,E48:L48)</f>
        <v>22.975000000000001</v>
      </c>
      <c r="N48" s="90">
        <f>(SUMPRODUCT($E$40:$L$40,E48:L48))*$N$40*D48</f>
        <v>47607.324600000007</v>
      </c>
      <c r="O48" s="90">
        <f>N48/$O$40</f>
        <v>793.45541000000014</v>
      </c>
      <c r="P48" s="91">
        <f>O48*(1+$P$40)</f>
        <v>952.14649200000008</v>
      </c>
      <c r="S48" s="13" t="s">
        <v>36</v>
      </c>
      <c r="U48" s="84">
        <v>13941.331007999999</v>
      </c>
      <c r="V48" s="87">
        <v>0.05</v>
      </c>
      <c r="W48" s="92">
        <v>0.2</v>
      </c>
      <c r="X48" s="87">
        <v>0.3</v>
      </c>
      <c r="Y48" s="87">
        <v>0.15</v>
      </c>
      <c r="Z48" s="87">
        <v>0.14000000000000001</v>
      </c>
      <c r="AA48" s="87">
        <v>0.1</v>
      </c>
      <c r="AB48" s="87">
        <v>0.05</v>
      </c>
      <c r="AC48" s="88">
        <v>0.01</v>
      </c>
      <c r="AD48" s="89">
        <f>SUMPRODUCT($V$40:$AC$40,V48:AC48)</f>
        <v>22.975000000000001</v>
      </c>
      <c r="AE48" s="90">
        <f>(SUMPRODUCT($V$40:$AC$40,V48:AC48))*$AE$40*U48</f>
        <v>64060.415981760008</v>
      </c>
      <c r="AF48" s="90">
        <f>AE48/$AF$40</f>
        <v>1067.6735996960001</v>
      </c>
      <c r="AG48" s="91">
        <f>AF48*(1+$AG$40)</f>
        <v>1281.2083196352</v>
      </c>
      <c r="AJ48" s="13" t="s">
        <v>36</v>
      </c>
      <c r="AL48" s="84">
        <v>29281.55827849299</v>
      </c>
      <c r="AM48" s="87">
        <v>0.05</v>
      </c>
      <c r="AN48" s="92">
        <v>0.2</v>
      </c>
      <c r="AO48" s="87">
        <v>0.3</v>
      </c>
      <c r="AP48" s="87">
        <v>0.15</v>
      </c>
      <c r="AQ48" s="87">
        <v>0.14000000000000001</v>
      </c>
      <c r="AR48" s="87">
        <v>0.1</v>
      </c>
      <c r="AS48" s="87">
        <v>0.05</v>
      </c>
      <c r="AT48" s="88">
        <v>0.01</v>
      </c>
      <c r="AU48" s="89">
        <f>SUMPRODUCT($AM$40:$AT$40,AM48:AT48)</f>
        <v>22.975000000000001</v>
      </c>
      <c r="AV48" s="90">
        <f>(SUMPRODUCT($AM$40:$AT$40,AM48:AT48))*$AV$40*AL48</f>
        <v>134548.76028967532</v>
      </c>
      <c r="AW48" s="90">
        <f>AV48/$AW$40</f>
        <v>2242.4793381612553</v>
      </c>
      <c r="AX48" s="91">
        <f>AW48*(1+$AX$40)</f>
        <v>2690.9752057935061</v>
      </c>
    </row>
    <row r="49" spans="2:50" ht="15.75" customHeight="1" x14ac:dyDescent="0.25">
      <c r="B49" s="13" t="s">
        <v>37</v>
      </c>
      <c r="D49" s="84">
        <v>12432.816000000001</v>
      </c>
      <c r="E49" s="87">
        <v>0.05</v>
      </c>
      <c r="F49" s="92">
        <v>0.1</v>
      </c>
      <c r="G49" s="87">
        <v>0.1</v>
      </c>
      <c r="H49" s="87">
        <v>0.15</v>
      </c>
      <c r="I49" s="87">
        <v>0.25</v>
      </c>
      <c r="J49" s="87">
        <v>0.16</v>
      </c>
      <c r="K49" s="87">
        <v>0.15</v>
      </c>
      <c r="L49" s="88">
        <v>0.04</v>
      </c>
      <c r="M49" s="89">
        <f>SUMPRODUCT($E$40:$L$40,E49:L49)</f>
        <v>66.575000000000003</v>
      </c>
      <c r="N49" s="90">
        <f>(SUMPRODUCT($E$40:$L$40,E49:L49))*$N$40*D49</f>
        <v>165542.94504000002</v>
      </c>
      <c r="O49" s="90">
        <f>N49/$O$40</f>
        <v>2759.0490840000002</v>
      </c>
      <c r="P49" s="91">
        <f>O49*(1+$P$40)</f>
        <v>3310.8589008000004</v>
      </c>
      <c r="S49" s="13" t="s">
        <v>37</v>
      </c>
      <c r="U49" s="84">
        <v>16729.5972096</v>
      </c>
      <c r="V49" s="87">
        <v>0.05</v>
      </c>
      <c r="W49" s="92">
        <v>0.1</v>
      </c>
      <c r="X49" s="87">
        <v>0.1</v>
      </c>
      <c r="Y49" s="87">
        <v>0.15</v>
      </c>
      <c r="Z49" s="87">
        <v>0.25</v>
      </c>
      <c r="AA49" s="87">
        <v>0.16</v>
      </c>
      <c r="AB49" s="87">
        <v>0.15</v>
      </c>
      <c r="AC49" s="88">
        <v>0.04</v>
      </c>
      <c r="AD49" s="89">
        <f>SUMPRODUCT($V$40:$AC$40,V49:AC49)</f>
        <v>66.575000000000003</v>
      </c>
      <c r="AE49" s="90">
        <f>(SUMPRODUCT($V$40:$AC$40,V49:AC49))*$AE$40*U49</f>
        <v>222754.58684582403</v>
      </c>
      <c r="AF49" s="90">
        <f>AE49/$AF$40</f>
        <v>3712.5764474304005</v>
      </c>
      <c r="AG49" s="91">
        <f>AF49*(1+$AG$40)</f>
        <v>4455.0917369164808</v>
      </c>
      <c r="AJ49" s="13" t="s">
        <v>37</v>
      </c>
      <c r="AL49" s="84">
        <v>35137.869934191593</v>
      </c>
      <c r="AM49" s="87">
        <v>0.05</v>
      </c>
      <c r="AN49" s="92">
        <v>0.1</v>
      </c>
      <c r="AO49" s="87">
        <v>0.1</v>
      </c>
      <c r="AP49" s="87">
        <v>0.15</v>
      </c>
      <c r="AQ49" s="87">
        <v>0.25</v>
      </c>
      <c r="AR49" s="87">
        <v>0.16</v>
      </c>
      <c r="AS49" s="87">
        <v>0.15</v>
      </c>
      <c r="AT49" s="88">
        <v>0.04</v>
      </c>
      <c r="AU49" s="89">
        <f>SUMPRODUCT($AM$40:$AT$40,AM49:AT49)</f>
        <v>66.575000000000003</v>
      </c>
      <c r="AV49" s="90">
        <f>(SUMPRODUCT($AM$40:$AT$40,AM49:AT49))*$AV$40*AL49</f>
        <v>467860.73817376111</v>
      </c>
      <c r="AW49" s="90">
        <f>AV49/$AW$40</f>
        <v>7797.6789695626849</v>
      </c>
      <c r="AX49" s="91">
        <f>AW49*(1+$AX$40)</f>
        <v>9357.2147634752218</v>
      </c>
    </row>
    <row r="50" spans="2:50" ht="47.25" customHeight="1" x14ac:dyDescent="0.25">
      <c r="B50" s="13" t="s">
        <v>38</v>
      </c>
      <c r="D50" s="84">
        <v>16231.732</v>
      </c>
      <c r="E50" s="87">
        <v>0.3</v>
      </c>
      <c r="F50" s="92">
        <v>0.25</v>
      </c>
      <c r="G50" s="87">
        <v>0.25</v>
      </c>
      <c r="H50" s="87">
        <v>0.1</v>
      </c>
      <c r="I50" s="87">
        <v>0.05</v>
      </c>
      <c r="J50" s="87">
        <v>0.02</v>
      </c>
      <c r="K50" s="87">
        <v>0.02</v>
      </c>
      <c r="L50" s="88">
        <v>0.01</v>
      </c>
      <c r="M50" s="89">
        <f>SUMPRODUCT($E$40:$L$40,E50:L50)</f>
        <v>14.9</v>
      </c>
      <c r="N50" s="90">
        <f>(SUMPRODUCT($E$40:$L$40,E50:L50))*$N$40*D50</f>
        <v>48370.561360000007</v>
      </c>
      <c r="O50" s="90">
        <f>N50/$O$40</f>
        <v>806.17602266666677</v>
      </c>
      <c r="P50" s="91">
        <f>O50*(1+$P$40)</f>
        <v>967.4112272000001</v>
      </c>
      <c r="S50" s="13" t="s">
        <v>38</v>
      </c>
      <c r="U50" s="84">
        <v>21841.418579199999</v>
      </c>
      <c r="V50" s="87">
        <v>0.3</v>
      </c>
      <c r="W50" s="92">
        <v>0.25</v>
      </c>
      <c r="X50" s="87">
        <v>0.25</v>
      </c>
      <c r="Y50" s="87">
        <v>0.1</v>
      </c>
      <c r="Z50" s="87">
        <v>0.05</v>
      </c>
      <c r="AA50" s="87">
        <v>0.02</v>
      </c>
      <c r="AB50" s="87">
        <v>0.02</v>
      </c>
      <c r="AC50" s="88">
        <v>0.01</v>
      </c>
      <c r="AD50" s="89">
        <f>SUMPRODUCT($V$40:$AC$40,V50:AC50)</f>
        <v>14.9</v>
      </c>
      <c r="AE50" s="90">
        <f>(SUMPRODUCT($V$40:$AC$40,V50:AC50))*$AE$40*U50</f>
        <v>65087.427366016003</v>
      </c>
      <c r="AF50" s="90">
        <f>AE50/$AF$40</f>
        <v>1084.7904561002667</v>
      </c>
      <c r="AG50" s="91">
        <f>AF50*(1+$AG$40)</f>
        <v>1301.7485473203201</v>
      </c>
      <c r="AJ50" s="13" t="s">
        <v>38</v>
      </c>
      <c r="AL50" s="84">
        <v>45874.441302972351</v>
      </c>
      <c r="AM50" s="87">
        <v>0.3</v>
      </c>
      <c r="AN50" s="92">
        <v>0.25</v>
      </c>
      <c r="AO50" s="87">
        <v>0.25</v>
      </c>
      <c r="AP50" s="87">
        <v>0.1</v>
      </c>
      <c r="AQ50" s="87">
        <v>0.05</v>
      </c>
      <c r="AR50" s="87">
        <v>0.02</v>
      </c>
      <c r="AS50" s="87">
        <v>0.02</v>
      </c>
      <c r="AT50" s="88">
        <v>0.01</v>
      </c>
      <c r="AU50" s="89">
        <f>SUMPRODUCT($AM$40:$AT$40,AM50:AT50)</f>
        <v>14.9</v>
      </c>
      <c r="AV50" s="90">
        <f>(SUMPRODUCT($AM$40:$AT$40,AM50:AT50))*$AV$40*AL50</f>
        <v>136705.83508285764</v>
      </c>
      <c r="AW50" s="90">
        <f>AV50/$AW$40</f>
        <v>2278.4305847142941</v>
      </c>
      <c r="AX50" s="91">
        <f>AW50*(1+$AX$40)</f>
        <v>2734.116701657153</v>
      </c>
    </row>
    <row r="51" spans="2:50" ht="15.75" customHeight="1" x14ac:dyDescent="0.25">
      <c r="B51" s="13" t="s">
        <v>39</v>
      </c>
      <c r="D51" s="84">
        <v>20721.36</v>
      </c>
      <c r="E51" s="87">
        <v>0.1</v>
      </c>
      <c r="F51" s="92">
        <v>0.12</v>
      </c>
      <c r="G51" s="87">
        <v>0.12</v>
      </c>
      <c r="H51" s="87">
        <v>0.1</v>
      </c>
      <c r="I51" s="87">
        <v>0.18</v>
      </c>
      <c r="J51" s="87">
        <v>0.2</v>
      </c>
      <c r="K51" s="87">
        <v>0.15</v>
      </c>
      <c r="L51" s="88">
        <v>0.03</v>
      </c>
      <c r="M51" s="89">
        <f>SUMPRODUCT($E$40:$L$40,E51:L51)</f>
        <v>57.71</v>
      </c>
      <c r="N51" s="90">
        <f>(SUMPRODUCT($E$40:$L$40,E51:L51))*$N$40*D51</f>
        <v>239165.93712000005</v>
      </c>
      <c r="O51" s="90">
        <f>N51/$O$40</f>
        <v>3986.0989520000007</v>
      </c>
      <c r="P51" s="91">
        <f>O51*(1+$P$40)</f>
        <v>4783.3187424000007</v>
      </c>
      <c r="S51" s="13" t="s">
        <v>39</v>
      </c>
      <c r="U51" s="84">
        <v>27882.662015999998</v>
      </c>
      <c r="V51" s="87">
        <v>0.1</v>
      </c>
      <c r="W51" s="92">
        <v>0.12</v>
      </c>
      <c r="X51" s="87">
        <v>0.12</v>
      </c>
      <c r="Y51" s="87">
        <v>0.1</v>
      </c>
      <c r="Z51" s="87">
        <v>0.18</v>
      </c>
      <c r="AA51" s="87">
        <v>0.2</v>
      </c>
      <c r="AB51" s="87">
        <v>0.15</v>
      </c>
      <c r="AC51" s="88">
        <v>0.03</v>
      </c>
      <c r="AD51" s="89">
        <f>SUMPRODUCT($V$40:$AC$40,V51:AC51)</f>
        <v>57.71</v>
      </c>
      <c r="AE51" s="90">
        <f>(SUMPRODUCT($V$40:$AC$40,V51:AC51))*$AE$40*U51</f>
        <v>321821.68498867203</v>
      </c>
      <c r="AF51" s="90">
        <f>AE51/$AF$40</f>
        <v>5363.6947498112004</v>
      </c>
      <c r="AG51" s="91">
        <f>AF51*(1+$AG$40)</f>
        <v>6436.4336997734399</v>
      </c>
      <c r="AJ51" s="13" t="s">
        <v>39</v>
      </c>
      <c r="AL51" s="84">
        <v>58563.11655698598</v>
      </c>
      <c r="AM51" s="87">
        <v>0.1</v>
      </c>
      <c r="AN51" s="92">
        <v>0.12</v>
      </c>
      <c r="AO51" s="87">
        <v>0.12</v>
      </c>
      <c r="AP51" s="87">
        <v>0.1</v>
      </c>
      <c r="AQ51" s="87">
        <v>0.18</v>
      </c>
      <c r="AR51" s="87">
        <v>0.2</v>
      </c>
      <c r="AS51" s="87">
        <v>0.15</v>
      </c>
      <c r="AT51" s="88">
        <v>0.03</v>
      </c>
      <c r="AU51" s="89">
        <f>SUMPRODUCT($AM$40:$AT$40,AM51:AT51)</f>
        <v>57.71</v>
      </c>
      <c r="AV51" s="90">
        <f>(SUMPRODUCT($AM$40:$AT$40,AM51:AT51))*$AV$40*AL51</f>
        <v>675935.49130073225</v>
      </c>
      <c r="AW51" s="90">
        <f>AV51/$AW$40</f>
        <v>11265.591521678871</v>
      </c>
      <c r="AX51" s="91">
        <f>AW51*(1+$AX$40)</f>
        <v>13518.709826014645</v>
      </c>
    </row>
    <row r="52" spans="2:50" ht="15.75" customHeight="1" x14ac:dyDescent="0.25">
      <c r="B52" s="13" t="s">
        <v>3</v>
      </c>
      <c r="D52" s="84">
        <v>49385.908000000003</v>
      </c>
      <c r="E52" s="87">
        <v>0.1</v>
      </c>
      <c r="F52" s="92">
        <v>0.15</v>
      </c>
      <c r="G52" s="87">
        <v>0.2</v>
      </c>
      <c r="H52" s="87">
        <v>0.18</v>
      </c>
      <c r="I52" s="87">
        <v>0.15</v>
      </c>
      <c r="J52" s="87">
        <v>0.1</v>
      </c>
      <c r="K52" s="87">
        <v>0.1</v>
      </c>
      <c r="L52" s="88">
        <v>0.02</v>
      </c>
      <c r="M52" s="89">
        <f>SUMPRODUCT($E$40:$L$40,E52:L52)</f>
        <v>38</v>
      </c>
      <c r="N52" s="90">
        <f>(SUMPRODUCT($E$40:$L$40,E52:L52))*$N$40*D52</f>
        <v>375332.90080000006</v>
      </c>
      <c r="O52" s="90">
        <f>N52/$O$40</f>
        <v>6255.5483466666674</v>
      </c>
      <c r="P52" s="91">
        <f>O52*(1+$P$40)</f>
        <v>7506.6580160000003</v>
      </c>
      <c r="S52" s="13" t="s">
        <v>3</v>
      </c>
      <c r="U52" s="84">
        <v>66453.677804799998</v>
      </c>
      <c r="V52" s="87">
        <v>0.1</v>
      </c>
      <c r="W52" s="92">
        <v>0.15</v>
      </c>
      <c r="X52" s="87">
        <v>0.2</v>
      </c>
      <c r="Y52" s="87">
        <v>0.18</v>
      </c>
      <c r="Z52" s="87">
        <v>0.15</v>
      </c>
      <c r="AA52" s="87">
        <v>0.1</v>
      </c>
      <c r="AB52" s="87">
        <v>0.1</v>
      </c>
      <c r="AC52" s="88">
        <v>0.02</v>
      </c>
      <c r="AD52" s="89">
        <f>SUMPRODUCT($V$40:$AC$40,V52:AC52)</f>
        <v>38</v>
      </c>
      <c r="AE52" s="90">
        <f>(SUMPRODUCT($V$40:$AC$40,V52:AC52))*$AE$40*U52</f>
        <v>505047.95131648</v>
      </c>
      <c r="AF52" s="90">
        <f>AE52/$AF$40</f>
        <v>8417.465855274666</v>
      </c>
      <c r="AG52" s="91">
        <f>AF52*(1+$AG$40)</f>
        <v>10100.9590263296</v>
      </c>
      <c r="AJ52" s="13" t="s">
        <v>3</v>
      </c>
      <c r="AL52" s="84">
        <v>139575.42779414993</v>
      </c>
      <c r="AM52" s="87">
        <v>0.1</v>
      </c>
      <c r="AN52" s="92">
        <v>0.15</v>
      </c>
      <c r="AO52" s="87">
        <v>0.2</v>
      </c>
      <c r="AP52" s="87">
        <v>0.18</v>
      </c>
      <c r="AQ52" s="87">
        <v>0.15</v>
      </c>
      <c r="AR52" s="87">
        <v>0.1</v>
      </c>
      <c r="AS52" s="87">
        <v>0.1</v>
      </c>
      <c r="AT52" s="88">
        <v>0.02</v>
      </c>
      <c r="AU52" s="89">
        <f>SUMPRODUCT($AM$40:$AT$40,AM52:AT52)</f>
        <v>38</v>
      </c>
      <c r="AV52" s="90">
        <f>(SUMPRODUCT($AM$40:$AT$40,AM52:AT52))*$AV$40*AL52</f>
        <v>1060773.2512355396</v>
      </c>
      <c r="AW52" s="90">
        <f>AV52/$AW$40</f>
        <v>17679.554187258993</v>
      </c>
      <c r="AX52" s="91">
        <f>AW52*(1+$AX$40)</f>
        <v>21215.465024710789</v>
      </c>
    </row>
    <row r="53" spans="2:50" ht="31.5" customHeight="1" x14ac:dyDescent="0.25">
      <c r="B53" s="13" t="s">
        <v>40</v>
      </c>
      <c r="D53" s="84">
        <v>5180.34</v>
      </c>
      <c r="E53" s="87">
        <v>0.25</v>
      </c>
      <c r="F53" s="92">
        <v>0.2</v>
      </c>
      <c r="G53" s="87">
        <v>0.17</v>
      </c>
      <c r="H53" s="87">
        <v>0.15</v>
      </c>
      <c r="I53" s="87">
        <v>0.1</v>
      </c>
      <c r="J53" s="87">
        <v>0.1</v>
      </c>
      <c r="K53" s="87">
        <v>0.02</v>
      </c>
      <c r="L53" s="88">
        <v>0.01</v>
      </c>
      <c r="M53" s="89">
        <f>SUMPRODUCT($E$40:$L$40,E53:L53)</f>
        <v>19.414999999999999</v>
      </c>
      <c r="N53" s="90">
        <f>(SUMPRODUCT($E$40:$L$40,E53:L53))*$N$40*D53</f>
        <v>20115.26022</v>
      </c>
      <c r="O53" s="90">
        <f>N53/$O$40</f>
        <v>335.25433700000002</v>
      </c>
      <c r="P53" s="91">
        <f>O53*(1+$P$40)</f>
        <v>402.30520440000004</v>
      </c>
      <c r="S53" s="13" t="s">
        <v>40</v>
      </c>
      <c r="U53" s="84">
        <v>6970.6655039999996</v>
      </c>
      <c r="V53" s="87">
        <v>0.25</v>
      </c>
      <c r="W53" s="92">
        <v>0.2</v>
      </c>
      <c r="X53" s="87">
        <v>0.17</v>
      </c>
      <c r="Y53" s="87">
        <v>0.15</v>
      </c>
      <c r="Z53" s="87">
        <v>0.1</v>
      </c>
      <c r="AA53" s="87">
        <v>0.1</v>
      </c>
      <c r="AB53" s="87">
        <v>0.02</v>
      </c>
      <c r="AC53" s="88">
        <v>0.01</v>
      </c>
      <c r="AD53" s="89">
        <f>SUMPRODUCT($V$40:$AC$40,V53:AC53)</f>
        <v>19.414999999999999</v>
      </c>
      <c r="AE53" s="90">
        <f>(SUMPRODUCT($V$40:$AC$40,V53:AC53))*$AE$40*U53</f>
        <v>27067.094152031998</v>
      </c>
      <c r="AF53" s="90">
        <f>AE53/$AF$40</f>
        <v>451.11823586719999</v>
      </c>
      <c r="AG53" s="91">
        <f>AF53*(1+$AG$40)</f>
        <v>541.34188304063991</v>
      </c>
      <c r="AJ53" s="13" t="s">
        <v>40</v>
      </c>
      <c r="AL53" s="84">
        <v>14640.779139246495</v>
      </c>
      <c r="AM53" s="87">
        <v>0.25</v>
      </c>
      <c r="AN53" s="92">
        <v>0.2</v>
      </c>
      <c r="AO53" s="87">
        <v>0.17</v>
      </c>
      <c r="AP53" s="87">
        <v>0.15</v>
      </c>
      <c r="AQ53" s="87">
        <v>0.1</v>
      </c>
      <c r="AR53" s="87">
        <v>0.1</v>
      </c>
      <c r="AS53" s="87">
        <v>0.02</v>
      </c>
      <c r="AT53" s="88">
        <v>0.01</v>
      </c>
      <c r="AU53" s="89">
        <f>SUMPRODUCT($AM$40:$AT$40,AM53:AT53)</f>
        <v>19.414999999999999</v>
      </c>
      <c r="AV53" s="90">
        <f>(SUMPRODUCT($AM$40:$AT$40,AM53:AT53))*$AV$40*AL53</f>
        <v>56850.145397694141</v>
      </c>
      <c r="AW53" s="90">
        <f>AV53/$AW$40</f>
        <v>947.50242329490231</v>
      </c>
      <c r="AX53" s="91">
        <f>AW53*(1+$AX$40)</f>
        <v>1137.0029079538826</v>
      </c>
    </row>
    <row r="54" spans="2:50" ht="15.75" customHeight="1" x14ac:dyDescent="0.25">
      <c r="B54" s="13" t="s">
        <v>2</v>
      </c>
      <c r="D54" s="84">
        <v>30391.328000000001</v>
      </c>
      <c r="E54" s="87">
        <v>0.3</v>
      </c>
      <c r="F54" s="92">
        <v>0.27</v>
      </c>
      <c r="G54" s="87">
        <v>0.2</v>
      </c>
      <c r="H54" s="87">
        <v>0.05</v>
      </c>
      <c r="I54" s="87">
        <v>0.1</v>
      </c>
      <c r="J54" s="87">
        <v>0.05</v>
      </c>
      <c r="K54" s="87">
        <v>0.02</v>
      </c>
      <c r="L54" s="88">
        <v>0.01</v>
      </c>
      <c r="M54" s="89">
        <f>SUMPRODUCT($E$40:$L$40,E54:L54)</f>
        <v>16.57</v>
      </c>
      <c r="N54" s="90">
        <f>(SUMPRODUCT($E$40:$L$40,E54:L54))*$N$40*D54</f>
        <v>100716.860992</v>
      </c>
      <c r="O54" s="90">
        <f>N54/$O$40</f>
        <v>1678.6143498666668</v>
      </c>
      <c r="P54" s="91">
        <f>O54*(1+$P$40)</f>
        <v>2014.33721984</v>
      </c>
      <c r="S54" s="13" t="s">
        <v>2</v>
      </c>
      <c r="U54" s="84">
        <v>40894.570956800002</v>
      </c>
      <c r="V54" s="87">
        <v>0.3</v>
      </c>
      <c r="W54" s="92">
        <v>0.27</v>
      </c>
      <c r="X54" s="87">
        <v>0.2</v>
      </c>
      <c r="Y54" s="87">
        <v>0.05</v>
      </c>
      <c r="Z54" s="87">
        <v>0.1</v>
      </c>
      <c r="AA54" s="87">
        <v>0.05</v>
      </c>
      <c r="AB54" s="87">
        <v>0.02</v>
      </c>
      <c r="AC54" s="88">
        <v>0.01</v>
      </c>
      <c r="AD54" s="89">
        <f>SUMPRODUCT($V$40:$AC$40,V54:AC54)</f>
        <v>16.57</v>
      </c>
      <c r="AE54" s="90">
        <f>(SUMPRODUCT($V$40:$AC$40,V54:AC54))*$AE$40*U54</f>
        <v>135524.60815083521</v>
      </c>
      <c r="AF54" s="90">
        <f>AE54/$AF$40</f>
        <v>2258.743469180587</v>
      </c>
      <c r="AG54" s="91">
        <f>AF54*(1+$AG$40)</f>
        <v>2710.4921630167041</v>
      </c>
      <c r="AJ54" s="13" t="s">
        <v>2</v>
      </c>
      <c r="AL54" s="84">
        <v>85892.57095024611</v>
      </c>
      <c r="AM54" s="87">
        <v>0.3</v>
      </c>
      <c r="AN54" s="92">
        <v>0.27</v>
      </c>
      <c r="AO54" s="87">
        <v>0.2</v>
      </c>
      <c r="AP54" s="87">
        <v>0.05</v>
      </c>
      <c r="AQ54" s="87">
        <v>0.1</v>
      </c>
      <c r="AR54" s="87">
        <v>0.05</v>
      </c>
      <c r="AS54" s="87">
        <v>0.02</v>
      </c>
      <c r="AT54" s="88">
        <v>0.01</v>
      </c>
      <c r="AU54" s="89">
        <f>SUMPRODUCT($AM$40:$AT$40,AM54:AT54)</f>
        <v>16.57</v>
      </c>
      <c r="AV54" s="90">
        <f>(SUMPRODUCT($AM$40:$AT$40,AM54:AT54))*$AV$40*AL54</f>
        <v>284647.98012911563</v>
      </c>
      <c r="AW54" s="90">
        <f>AV54/$AW$40</f>
        <v>4744.133002151927</v>
      </c>
      <c r="AX54" s="91">
        <f>AW54*(1+$AX$40)</f>
        <v>5692.9596025823121</v>
      </c>
    </row>
    <row r="55" spans="2:50" ht="15.75" customHeight="1" x14ac:dyDescent="0.25">
      <c r="B55" s="13" t="s">
        <v>41</v>
      </c>
      <c r="D55" s="84">
        <v>15886.376</v>
      </c>
      <c r="E55" s="87">
        <v>0.1</v>
      </c>
      <c r="F55" s="92">
        <v>0.14000000000000001</v>
      </c>
      <c r="G55" s="87">
        <v>0.15</v>
      </c>
      <c r="H55" s="87">
        <v>0.2</v>
      </c>
      <c r="I55" s="87">
        <v>0.25</v>
      </c>
      <c r="J55" s="87">
        <v>0.1</v>
      </c>
      <c r="K55" s="87">
        <v>0.05</v>
      </c>
      <c r="L55" s="88">
        <v>0.01</v>
      </c>
      <c r="M55" s="89">
        <f>SUMPRODUCT($E$40:$L$40,E55:L55)</f>
        <v>23.990000000000002</v>
      </c>
      <c r="N55" s="90">
        <f>(SUMPRODUCT($E$40:$L$40,E55:L55))*$N$40*D55</f>
        <v>76222.832048000011</v>
      </c>
      <c r="O55" s="90">
        <f>N55/$O$40</f>
        <v>1270.3805341333334</v>
      </c>
      <c r="P55" s="91">
        <f>O55*(1+$P$40)</f>
        <v>1524.45664096</v>
      </c>
      <c r="S55" s="13" t="s">
        <v>41</v>
      </c>
      <c r="U55" s="84">
        <v>21376.707545599998</v>
      </c>
      <c r="V55" s="87">
        <v>0.1</v>
      </c>
      <c r="W55" s="92">
        <v>0.14000000000000001</v>
      </c>
      <c r="X55" s="87">
        <v>0.15</v>
      </c>
      <c r="Y55" s="87">
        <v>0.2</v>
      </c>
      <c r="Z55" s="87">
        <v>0.25</v>
      </c>
      <c r="AA55" s="87">
        <v>0.1</v>
      </c>
      <c r="AB55" s="87">
        <v>0.05</v>
      </c>
      <c r="AC55" s="88">
        <v>0.01</v>
      </c>
      <c r="AD55" s="89">
        <f>SUMPRODUCT($V$40:$AC$40,V55:AC55)</f>
        <v>23.990000000000002</v>
      </c>
      <c r="AE55" s="90">
        <f>(SUMPRODUCT($V$40:$AC$40,V55:AC55))*$AE$40*U55</f>
        <v>102565.44280378881</v>
      </c>
      <c r="AF55" s="90">
        <f>AE55/$AF$40</f>
        <v>1709.4240467298137</v>
      </c>
      <c r="AG55" s="91">
        <f>AF55*(1+$AG$40)</f>
        <v>2051.3088560757765</v>
      </c>
      <c r="AJ55" s="13" t="s">
        <v>41</v>
      </c>
      <c r="AL55" s="84">
        <v>44898.389360355919</v>
      </c>
      <c r="AM55" s="87">
        <v>0.1</v>
      </c>
      <c r="AN55" s="92">
        <v>0.14000000000000001</v>
      </c>
      <c r="AO55" s="87">
        <v>0.15</v>
      </c>
      <c r="AP55" s="87">
        <v>0.2</v>
      </c>
      <c r="AQ55" s="87">
        <v>0.25</v>
      </c>
      <c r="AR55" s="87">
        <v>0.1</v>
      </c>
      <c r="AS55" s="87">
        <v>0.05</v>
      </c>
      <c r="AT55" s="88">
        <v>0.01</v>
      </c>
      <c r="AU55" s="89">
        <f>SUMPRODUCT($AM$40:$AT$40,AM55:AT55)</f>
        <v>23.990000000000002</v>
      </c>
      <c r="AV55" s="90">
        <f>(SUMPRODUCT($AM$40:$AT$40,AM55:AT55))*$AV$40*AL55</f>
        <v>215422.47215098774</v>
      </c>
      <c r="AW55" s="90">
        <f>AV55/$AW$40</f>
        <v>3590.3745358497958</v>
      </c>
      <c r="AX55" s="91">
        <f>AW55*(1+$AX$40)</f>
        <v>4308.4494430197547</v>
      </c>
    </row>
    <row r="56" spans="2:50" ht="15.75" customHeight="1" x14ac:dyDescent="0.25">
      <c r="B56" s="13" t="s">
        <v>42</v>
      </c>
      <c r="D56" s="84">
        <v>17267.8</v>
      </c>
      <c r="E56" s="87">
        <v>0.1</v>
      </c>
      <c r="F56" s="92">
        <v>0.15</v>
      </c>
      <c r="G56" s="87">
        <v>0.2</v>
      </c>
      <c r="H56" s="87">
        <v>0.22</v>
      </c>
      <c r="I56" s="87">
        <v>0.2</v>
      </c>
      <c r="J56" s="87">
        <v>0.1</v>
      </c>
      <c r="K56" s="87">
        <v>0.02</v>
      </c>
      <c r="L56" s="88">
        <v>0.01</v>
      </c>
      <c r="M56" s="89">
        <f>SUMPRODUCT($E$40:$L$40,E56:L56)</f>
        <v>20.7</v>
      </c>
      <c r="N56" s="90">
        <f>(SUMPRODUCT($E$40:$L$40,E56:L56))*$N$40*D56</f>
        <v>71488.691999999995</v>
      </c>
      <c r="O56" s="90">
        <f>N56/$O$40</f>
        <v>1191.4782</v>
      </c>
      <c r="P56" s="91">
        <f>O56*(1+$P$40)</f>
        <v>1429.7738400000001</v>
      </c>
      <c r="S56" s="13" t="s">
        <v>42</v>
      </c>
      <c r="U56" s="84">
        <v>23235.551679999997</v>
      </c>
      <c r="V56" s="87">
        <v>0.1</v>
      </c>
      <c r="W56" s="92">
        <v>0.15</v>
      </c>
      <c r="X56" s="87">
        <v>0.2</v>
      </c>
      <c r="Y56" s="87">
        <v>0.22</v>
      </c>
      <c r="Z56" s="87">
        <v>0.2</v>
      </c>
      <c r="AA56" s="87">
        <v>0.1</v>
      </c>
      <c r="AB56" s="87">
        <v>0.02</v>
      </c>
      <c r="AC56" s="88">
        <v>0.01</v>
      </c>
      <c r="AD56" s="89">
        <f>SUMPRODUCT($V$40:$AC$40,V56:AC56)</f>
        <v>20.7</v>
      </c>
      <c r="AE56" s="90">
        <f>(SUMPRODUCT($V$40:$AC$40,V56:AC56))*$AE$40*U56</f>
        <v>96195.183955199973</v>
      </c>
      <c r="AF56" s="90">
        <f>AE56/$AF$40</f>
        <v>1603.2530659199995</v>
      </c>
      <c r="AG56" s="91">
        <f>AF56*(1+$AG$40)</f>
        <v>1923.9036791039994</v>
      </c>
      <c r="AJ56" s="13" t="s">
        <v>42</v>
      </c>
      <c r="AL56" s="84">
        <v>48802.597130821647</v>
      </c>
      <c r="AM56" s="87">
        <v>0.1</v>
      </c>
      <c r="AN56" s="92">
        <v>0.15</v>
      </c>
      <c r="AO56" s="87">
        <v>0.2</v>
      </c>
      <c r="AP56" s="87">
        <v>0.22</v>
      </c>
      <c r="AQ56" s="87">
        <v>0.2</v>
      </c>
      <c r="AR56" s="87">
        <v>0.1</v>
      </c>
      <c r="AS56" s="87">
        <v>0.02</v>
      </c>
      <c r="AT56" s="88">
        <v>0.01</v>
      </c>
      <c r="AU56" s="89">
        <f>SUMPRODUCT($AM$40:$AT$40,AM56:AT56)</f>
        <v>20.7</v>
      </c>
      <c r="AV56" s="90">
        <f>(SUMPRODUCT($AM$40:$AT$40,AM56:AT56))*$AV$40*AL56</f>
        <v>202042.7521216016</v>
      </c>
      <c r="AW56" s="90">
        <f>AV56/$AW$40</f>
        <v>3367.3792020266933</v>
      </c>
      <c r="AX56" s="91">
        <f>AW56*(1+$AX$40)</f>
        <v>4040.855042432032</v>
      </c>
    </row>
    <row r="57" spans="2:50" ht="15.75" customHeight="1" x14ac:dyDescent="0.25">
      <c r="B57" s="13" t="s">
        <v>43</v>
      </c>
      <c r="D57" s="84">
        <v>272976</v>
      </c>
      <c r="E57" s="87">
        <v>0.05</v>
      </c>
      <c r="F57" s="92">
        <v>0.05</v>
      </c>
      <c r="G57" s="87">
        <v>0.1</v>
      </c>
      <c r="H57" s="87">
        <v>0.1</v>
      </c>
      <c r="I57" s="87">
        <v>0.15</v>
      </c>
      <c r="J57" s="87">
        <v>0.2</v>
      </c>
      <c r="K57" s="87">
        <v>0.25</v>
      </c>
      <c r="L57" s="88">
        <v>0.1</v>
      </c>
      <c r="M57" s="89">
        <f>SUMPRODUCT($E$40:$L$40,E57:L57)</f>
        <v>137.27500000000001</v>
      </c>
      <c r="N57" s="90">
        <f>(SUMPRODUCT($E$40:$L$40,E57:L57))*$N$40*D57</f>
        <v>7494556.0800000001</v>
      </c>
      <c r="O57" s="90">
        <f>N57/$O$40</f>
        <v>124909.268</v>
      </c>
      <c r="P57" s="91">
        <f>O57*(1+$P$40)</f>
        <v>149891.12159999998</v>
      </c>
      <c r="S57" s="13" t="s">
        <v>43</v>
      </c>
      <c r="U57" s="84">
        <v>281386.16034115787</v>
      </c>
      <c r="V57" s="87">
        <v>0.05</v>
      </c>
      <c r="W57" s="92">
        <v>0.05</v>
      </c>
      <c r="X57" s="87">
        <v>0.1</v>
      </c>
      <c r="Y57" s="87">
        <v>0.1</v>
      </c>
      <c r="Z57" s="87">
        <v>0.15</v>
      </c>
      <c r="AA57" s="87">
        <v>0.2</v>
      </c>
      <c r="AB57" s="87">
        <v>0.25</v>
      </c>
      <c r="AC57" s="88">
        <v>0.1</v>
      </c>
      <c r="AD57" s="89">
        <f>SUMPRODUCT($V$40:$AC$40,V57:AC57)</f>
        <v>137.27500000000001</v>
      </c>
      <c r="AE57" s="90">
        <f>(SUMPRODUCT($V$40:$AC$40,V57:AC57))*$AE$40*U57</f>
        <v>7725457.0321664894</v>
      </c>
      <c r="AF57" s="90">
        <f>AE57/$AF$40</f>
        <v>128757.61720277483</v>
      </c>
      <c r="AG57" s="91">
        <f>AF57*(1+$AG$40)</f>
        <v>154509.1406433298</v>
      </c>
      <c r="AJ57" s="13" t="s">
        <v>43</v>
      </c>
      <c r="AL57" s="84">
        <v>299908.34051727509</v>
      </c>
      <c r="AM57" s="87">
        <v>0.05</v>
      </c>
      <c r="AN57" s="92">
        <v>0.05</v>
      </c>
      <c r="AO57" s="87">
        <v>0.1</v>
      </c>
      <c r="AP57" s="87">
        <v>0.1</v>
      </c>
      <c r="AQ57" s="87">
        <v>0.15</v>
      </c>
      <c r="AR57" s="87">
        <v>0.2</v>
      </c>
      <c r="AS57" s="87">
        <v>0.25</v>
      </c>
      <c r="AT57" s="88">
        <v>0.1</v>
      </c>
      <c r="AU57" s="89">
        <f>SUMPRODUCT($AM$40:$AT$40,AM57:AT57)</f>
        <v>137.27500000000001</v>
      </c>
      <c r="AV57" s="90">
        <f>(SUMPRODUCT($AM$40:$AT$40,AM57:AT57))*$AV$40*AL57</f>
        <v>8233983.4889017884</v>
      </c>
      <c r="AW57" s="90">
        <f>AV57/$AW$40</f>
        <v>137233.05814836314</v>
      </c>
      <c r="AX57" s="91">
        <f>AW57*(1+$AX$40)</f>
        <v>164679.66977803575</v>
      </c>
    </row>
    <row r="58" spans="2:50" ht="15.75" customHeight="1" thickBot="1" x14ac:dyDescent="0.3">
      <c r="B58" s="103" t="s">
        <v>44</v>
      </c>
      <c r="D58" s="93">
        <v>11983.835616438357</v>
      </c>
      <c r="E58" s="94">
        <v>0.05</v>
      </c>
      <c r="F58" s="94">
        <v>0.13</v>
      </c>
      <c r="G58" s="95">
        <v>0.2</v>
      </c>
      <c r="H58" s="95">
        <v>0.25</v>
      </c>
      <c r="I58" s="95">
        <v>0.2</v>
      </c>
      <c r="J58" s="95">
        <v>0.1</v>
      </c>
      <c r="K58" s="95">
        <v>0.05</v>
      </c>
      <c r="L58" s="96">
        <v>0.02</v>
      </c>
      <c r="M58" s="97">
        <f>SUMPRODUCT($E$40:$L$40,E58:L58)</f>
        <v>33.805</v>
      </c>
      <c r="N58" s="98">
        <f>(SUMPRODUCT($E$40:$L$40,E58:L58))*$N$40*D58</f>
        <v>81022.712602739732</v>
      </c>
      <c r="O58" s="98">
        <f>N58/$O$40</f>
        <v>1350.3785433789956</v>
      </c>
      <c r="P58" s="99">
        <f>O58*(1+$P$40)</f>
        <v>1620.4542520547946</v>
      </c>
      <c r="S58" s="103" t="s">
        <v>44</v>
      </c>
      <c r="U58" s="93">
        <v>13086.648089041095</v>
      </c>
      <c r="V58" s="94">
        <v>0.05</v>
      </c>
      <c r="W58" s="94">
        <v>0.13</v>
      </c>
      <c r="X58" s="95">
        <v>0.2</v>
      </c>
      <c r="Y58" s="95">
        <v>0.25</v>
      </c>
      <c r="Z58" s="95">
        <v>0.2</v>
      </c>
      <c r="AA58" s="95">
        <v>0.1</v>
      </c>
      <c r="AB58" s="95">
        <v>0.05</v>
      </c>
      <c r="AC58" s="96">
        <v>0.02</v>
      </c>
      <c r="AD58" s="97">
        <f>SUMPRODUCT($V$40:$AC$40,V58:AC58)</f>
        <v>33.805</v>
      </c>
      <c r="AE58" s="98">
        <f>(SUMPRODUCT($V$40:$AC$40,V58:AC58))*$AE$40*U58</f>
        <v>88478.827730006844</v>
      </c>
      <c r="AF58" s="98">
        <f>AE58/$AF$40</f>
        <v>1474.6471288334474</v>
      </c>
      <c r="AG58" s="99">
        <f>AF58*(1+$AG$40)</f>
        <v>1769.5765546001369</v>
      </c>
      <c r="AJ58" s="103" t="s">
        <v>44</v>
      </c>
      <c r="AL58" s="93">
        <v>16386.524312688627</v>
      </c>
      <c r="AM58" s="94">
        <v>0.05</v>
      </c>
      <c r="AN58" s="94">
        <v>0.13</v>
      </c>
      <c r="AO58" s="95">
        <v>0.2</v>
      </c>
      <c r="AP58" s="95">
        <v>0.25</v>
      </c>
      <c r="AQ58" s="95">
        <v>0.2</v>
      </c>
      <c r="AR58" s="95">
        <v>0.1</v>
      </c>
      <c r="AS58" s="95">
        <v>0.05</v>
      </c>
      <c r="AT58" s="96">
        <v>0.02</v>
      </c>
      <c r="AU58" s="97">
        <f>SUMPRODUCT($AM$40:$AT$40,AM58:AT58)</f>
        <v>33.805</v>
      </c>
      <c r="AV58" s="98">
        <f>(SUMPRODUCT($AM$40:$AT$40,AM58:AT58))*$AV$40*AL58</f>
        <v>110789.29087808781</v>
      </c>
      <c r="AW58" s="98">
        <f>AV58/$AW$40</f>
        <v>1846.4881813014633</v>
      </c>
      <c r="AX58" s="99">
        <f>AW58*(1+$AX$40)</f>
        <v>2215.7858175617557</v>
      </c>
    </row>
    <row r="59" spans="2:50" ht="15.75" customHeight="1" x14ac:dyDescent="0.25">
      <c r="B59" s="104" t="s">
        <v>182</v>
      </c>
      <c r="D59" s="100">
        <f>SUM(D42:D58)</f>
        <v>615465.52761643822</v>
      </c>
      <c r="M59" s="8"/>
      <c r="N59" s="100">
        <f>SUM(N42:N58)</f>
        <v>9534141.7091547418</v>
      </c>
      <c r="O59" s="101">
        <f>N59/$O$40</f>
        <v>158902.36181924571</v>
      </c>
      <c r="P59" s="101">
        <f>O59*(1+$P$40)</f>
        <v>190682.83418309485</v>
      </c>
      <c r="S59" s="104" t="s">
        <v>182</v>
      </c>
      <c r="U59" s="100">
        <f>SUM(U42:U58)</f>
        <v>739201.26758539898</v>
      </c>
      <c r="AD59" s="8"/>
      <c r="AE59" s="100">
        <f>SUM(AE42:AE58)</f>
        <v>10449378.120408868</v>
      </c>
      <c r="AF59" s="101">
        <f>AE59/$AF$40</f>
        <v>174156.30200681448</v>
      </c>
      <c r="AG59" s="101">
        <f>AF59*(1+$AG$40)</f>
        <v>208987.56240817739</v>
      </c>
      <c r="AJ59" s="104" t="s">
        <v>182</v>
      </c>
      <c r="AL59" s="100">
        <f>SUM(AL42:AL58)</f>
        <v>1250376.5739138902</v>
      </c>
      <c r="AU59" s="8"/>
      <c r="AV59" s="100">
        <f>SUM(AV42:AV58)</f>
        <v>13880101.945733517</v>
      </c>
      <c r="AW59" s="101">
        <f>AV59/$AW$40</f>
        <v>231335.03242889195</v>
      </c>
      <c r="AX59" s="101">
        <f>AW59*(1+$AX$40)</f>
        <v>277602.03891467035</v>
      </c>
    </row>
    <row r="60" spans="2:50" ht="15" customHeight="1" x14ac:dyDescent="0.25">
      <c r="M60" s="8"/>
      <c r="N60" s="8">
        <f>N59/D59</f>
        <v>15.490943491308705</v>
      </c>
      <c r="O60" s="8">
        <f>N60/$O$40</f>
        <v>0.25818239152181177</v>
      </c>
      <c r="P60" s="8">
        <f>O60*(1+$P$40)</f>
        <v>0.30981886982617413</v>
      </c>
      <c r="AD60" s="8"/>
      <c r="AE60" s="8">
        <f>AE59/U59</f>
        <v>14.136039233998831</v>
      </c>
      <c r="AF60" s="8">
        <f>AE60/$AF$40</f>
        <v>0.23560065389998053</v>
      </c>
      <c r="AG60" s="8">
        <f>AF60*(1+$AG$40)</f>
        <v>0.28272078467997663</v>
      </c>
      <c r="AU60" s="8"/>
      <c r="AV60" s="8">
        <f>AV59/AL59</f>
        <v>11.100737358095611</v>
      </c>
      <c r="AW60" s="8">
        <f>AV60/$AW$40</f>
        <v>0.1850122893015935</v>
      </c>
      <c r="AX60" s="8">
        <f>AW60*(1+$AX$40)</f>
        <v>0.22201474716191219</v>
      </c>
    </row>
    <row r="64" spans="2:50" ht="15" customHeight="1" x14ac:dyDescent="0.25">
      <c r="C64">
        <v>2023</v>
      </c>
      <c r="T64">
        <v>2025</v>
      </c>
      <c r="AK64">
        <v>2030</v>
      </c>
    </row>
    <row r="65" spans="2:50" ht="20.100000000000001" customHeight="1" x14ac:dyDescent="0.25">
      <c r="C65" s="102" t="s">
        <v>12</v>
      </c>
      <c r="T65" s="102" t="s">
        <v>12</v>
      </c>
      <c r="AK65" s="102" t="s">
        <v>12</v>
      </c>
    </row>
    <row r="66" spans="2:50" ht="15" customHeight="1" thickBot="1" x14ac:dyDescent="0.3"/>
    <row r="67" spans="2:50" ht="55.35" customHeight="1" thickBot="1" x14ac:dyDescent="0.3">
      <c r="B67" s="138" t="s">
        <v>5</v>
      </c>
      <c r="C67" s="8"/>
      <c r="D67" s="140" t="s">
        <v>46</v>
      </c>
      <c r="E67" s="142" t="s">
        <v>25</v>
      </c>
      <c r="F67" s="143"/>
      <c r="G67" s="143"/>
      <c r="H67" s="143"/>
      <c r="I67" s="143"/>
      <c r="J67" s="143"/>
      <c r="K67" s="143"/>
      <c r="L67" s="144"/>
      <c r="M67" s="145" t="s">
        <v>6</v>
      </c>
      <c r="N67" s="9" t="s">
        <v>7</v>
      </c>
      <c r="O67" s="9" t="s">
        <v>8</v>
      </c>
      <c r="P67" s="9" t="s">
        <v>9</v>
      </c>
      <c r="S67" s="138" t="s">
        <v>5</v>
      </c>
      <c r="T67" s="8"/>
      <c r="U67" s="140" t="s">
        <v>46</v>
      </c>
      <c r="V67" s="142" t="s">
        <v>25</v>
      </c>
      <c r="W67" s="143"/>
      <c r="X67" s="143"/>
      <c r="Y67" s="143"/>
      <c r="Z67" s="143"/>
      <c r="AA67" s="143"/>
      <c r="AB67" s="143"/>
      <c r="AC67" s="144"/>
      <c r="AD67" s="145" t="s">
        <v>6</v>
      </c>
      <c r="AE67" s="9" t="s">
        <v>7</v>
      </c>
      <c r="AF67" s="9" t="s">
        <v>8</v>
      </c>
      <c r="AG67" s="9" t="s">
        <v>9</v>
      </c>
      <c r="AJ67" s="138" t="s">
        <v>5</v>
      </c>
      <c r="AK67" s="8"/>
      <c r="AL67" s="140" t="s">
        <v>46</v>
      </c>
      <c r="AM67" s="142" t="s">
        <v>25</v>
      </c>
      <c r="AN67" s="143"/>
      <c r="AO67" s="143"/>
      <c r="AP67" s="143"/>
      <c r="AQ67" s="143"/>
      <c r="AR67" s="143"/>
      <c r="AS67" s="143"/>
      <c r="AT67" s="144"/>
      <c r="AU67" s="145" t="s">
        <v>6</v>
      </c>
      <c r="AV67" s="9" t="s">
        <v>7</v>
      </c>
      <c r="AW67" s="9" t="s">
        <v>8</v>
      </c>
      <c r="AX67" s="9" t="s">
        <v>9</v>
      </c>
    </row>
    <row r="68" spans="2:50" ht="16.5" customHeight="1" thickBot="1" x14ac:dyDescent="0.3">
      <c r="B68" s="139"/>
      <c r="C68" s="8"/>
      <c r="D68" s="141"/>
      <c r="E68" s="10">
        <v>0.5</v>
      </c>
      <c r="F68" s="10">
        <v>1</v>
      </c>
      <c r="G68" s="10">
        <v>2</v>
      </c>
      <c r="H68" s="10">
        <v>5</v>
      </c>
      <c r="I68" s="10">
        <v>10</v>
      </c>
      <c r="J68" s="10">
        <v>50</v>
      </c>
      <c r="K68" s="10">
        <v>100</v>
      </c>
      <c r="L68" s="10">
        <v>1000</v>
      </c>
      <c r="M68" s="146"/>
      <c r="N68" s="59">
        <f>'Network Parameters'!$C$8</f>
        <v>0.2</v>
      </c>
      <c r="O68" s="60">
        <f>'Network Parameters'!$C$9</f>
        <v>60</v>
      </c>
      <c r="P68" s="61">
        <f>'Network Parameters'!$C$10</f>
        <v>0.2</v>
      </c>
      <c r="S68" s="139"/>
      <c r="T68" s="8"/>
      <c r="U68" s="141"/>
      <c r="V68" s="10">
        <v>0.5</v>
      </c>
      <c r="W68" s="10">
        <v>1</v>
      </c>
      <c r="X68" s="10">
        <v>2</v>
      </c>
      <c r="Y68" s="10">
        <v>5</v>
      </c>
      <c r="Z68" s="10">
        <v>10</v>
      </c>
      <c r="AA68" s="10">
        <v>50</v>
      </c>
      <c r="AB68" s="10">
        <v>100</v>
      </c>
      <c r="AC68" s="10">
        <v>1000</v>
      </c>
      <c r="AD68" s="146"/>
      <c r="AE68" s="59">
        <f>'Network Parameters'!$C$8</f>
        <v>0.2</v>
      </c>
      <c r="AF68" s="60">
        <f>'Network Parameters'!$C$9</f>
        <v>60</v>
      </c>
      <c r="AG68" s="61">
        <f>'Network Parameters'!$C$10</f>
        <v>0.2</v>
      </c>
      <c r="AJ68" s="139"/>
      <c r="AK68" s="8"/>
      <c r="AL68" s="141"/>
      <c r="AM68" s="10">
        <v>0.5</v>
      </c>
      <c r="AN68" s="10">
        <v>1</v>
      </c>
      <c r="AO68" s="10">
        <v>2</v>
      </c>
      <c r="AP68" s="10">
        <v>5</v>
      </c>
      <c r="AQ68" s="10">
        <v>10</v>
      </c>
      <c r="AR68" s="10">
        <v>50</v>
      </c>
      <c r="AS68" s="10">
        <v>100</v>
      </c>
      <c r="AT68" s="10">
        <v>1000</v>
      </c>
      <c r="AU68" s="146"/>
      <c r="AV68" s="59">
        <f>'Network Parameters'!$C$8</f>
        <v>0.2</v>
      </c>
      <c r="AW68" s="60">
        <f>'Network Parameters'!$C$9</f>
        <v>60</v>
      </c>
      <c r="AX68" s="61">
        <f>'Network Parameters'!$C$10</f>
        <v>0.2</v>
      </c>
    </row>
    <row r="69" spans="2:50" ht="15" customHeight="1" thickBo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</row>
    <row r="70" spans="2:50" ht="41.25" customHeight="1" x14ac:dyDescent="0.25">
      <c r="B70" s="13" t="s">
        <v>32</v>
      </c>
      <c r="D70" s="77">
        <v>6981.9821344481597</v>
      </c>
      <c r="E70" s="78">
        <v>0.3</v>
      </c>
      <c r="F70" s="78">
        <v>0.3</v>
      </c>
      <c r="G70" s="78">
        <v>0.25</v>
      </c>
      <c r="H70" s="79">
        <v>0.05</v>
      </c>
      <c r="I70" s="78">
        <v>0.05</v>
      </c>
      <c r="J70" s="78">
        <v>0.02</v>
      </c>
      <c r="K70" s="78">
        <v>0.02</v>
      </c>
      <c r="L70" s="80">
        <v>0.01</v>
      </c>
      <c r="M70" s="81">
        <f>SUMPRODUCT($E$68:$L$68,E70:L70)</f>
        <v>14.7</v>
      </c>
      <c r="N70" s="82">
        <f>(SUMPRODUCT($E$68:$L$68,E70:L70))*$N$68*D70</f>
        <v>20527.027475277588</v>
      </c>
      <c r="O70" s="82">
        <f>N70/$O$68</f>
        <v>342.11712458795978</v>
      </c>
      <c r="P70" s="83">
        <f>O70*(1+$P$68)</f>
        <v>410.54054950555172</v>
      </c>
      <c r="S70" s="13" t="s">
        <v>32</v>
      </c>
      <c r="U70" s="77">
        <v>9394.9551601134426</v>
      </c>
      <c r="V70" s="78">
        <v>0.3</v>
      </c>
      <c r="W70" s="78">
        <v>0.3</v>
      </c>
      <c r="X70" s="78">
        <v>0.25</v>
      </c>
      <c r="Y70" s="79">
        <v>0.05</v>
      </c>
      <c r="Z70" s="78">
        <v>0.05</v>
      </c>
      <c r="AA70" s="78">
        <v>0.02</v>
      </c>
      <c r="AB70" s="78">
        <v>0.02</v>
      </c>
      <c r="AC70" s="80">
        <v>0.01</v>
      </c>
      <c r="AD70" s="81">
        <f>SUMPRODUCT($V$68:$AC$68,V70:AC70)</f>
        <v>14.7</v>
      </c>
      <c r="AE70" s="82">
        <f>(SUMPRODUCT($V$68:$AC$68,V70:AC70))*$AE$68*U70</f>
        <v>27621.168170733519</v>
      </c>
      <c r="AF70" s="82">
        <f>AE70/$AF$68</f>
        <v>460.35280284555864</v>
      </c>
      <c r="AG70" s="83">
        <f>AF70*(1+$AG$68)</f>
        <v>552.42336341467035</v>
      </c>
      <c r="AJ70" s="13" t="s">
        <v>32</v>
      </c>
      <c r="AL70" s="77">
        <v>19732.615694070337</v>
      </c>
      <c r="AM70" s="78">
        <v>0.3</v>
      </c>
      <c r="AN70" s="78">
        <v>0.3</v>
      </c>
      <c r="AO70" s="78">
        <v>0.25</v>
      </c>
      <c r="AP70" s="79">
        <v>0.05</v>
      </c>
      <c r="AQ70" s="78">
        <v>0.05</v>
      </c>
      <c r="AR70" s="78">
        <v>0.02</v>
      </c>
      <c r="AS70" s="78">
        <v>0.02</v>
      </c>
      <c r="AT70" s="80">
        <v>0.01</v>
      </c>
      <c r="AU70" s="81">
        <f>SUMPRODUCT($AM$68:$AT$68,AM70:AT70)</f>
        <v>14.7</v>
      </c>
      <c r="AV70" s="82">
        <f>(SUMPRODUCT($AM$68:$AT$68,AM70:AT70))*$AV$68*AL70</f>
        <v>58013.890140566786</v>
      </c>
      <c r="AW70" s="82">
        <f>AV70/$AW$68</f>
        <v>966.89816900944641</v>
      </c>
      <c r="AX70" s="83">
        <f>AW70*(1+$AX$68)</f>
        <v>1160.2778028113357</v>
      </c>
    </row>
    <row r="71" spans="2:50" ht="15.75" customHeight="1" x14ac:dyDescent="0.25">
      <c r="B71" s="13" t="s">
        <v>33</v>
      </c>
      <c r="D71" s="84">
        <v>764.4505986622072</v>
      </c>
      <c r="E71" s="85">
        <v>0.3</v>
      </c>
      <c r="F71" s="85">
        <v>0.3</v>
      </c>
      <c r="G71" s="86">
        <v>0.2</v>
      </c>
      <c r="H71" s="87">
        <v>0.05</v>
      </c>
      <c r="I71" s="87">
        <v>0.1</v>
      </c>
      <c r="J71" s="87">
        <v>0.02</v>
      </c>
      <c r="K71" s="87">
        <v>0.02</v>
      </c>
      <c r="L71" s="88">
        <v>0.01</v>
      </c>
      <c r="M71" s="89">
        <f>SUMPRODUCT($E$68:$L$68,E71:L71)</f>
        <v>15.1</v>
      </c>
      <c r="N71" s="90">
        <f>(SUMPRODUCT($E$68:$L$68,E71:L71))*$N$68*D71</f>
        <v>2308.6408079598659</v>
      </c>
      <c r="O71" s="90">
        <f>N71/$O$68</f>
        <v>38.477346799331102</v>
      </c>
      <c r="P71" s="91">
        <f>O71*(1+$P$68)</f>
        <v>46.172816159197318</v>
      </c>
      <c r="S71" s="13" t="s">
        <v>33</v>
      </c>
      <c r="U71" s="84">
        <v>1028.6447255598659</v>
      </c>
      <c r="V71" s="85">
        <v>0.3</v>
      </c>
      <c r="W71" s="85">
        <v>0.3</v>
      </c>
      <c r="X71" s="86">
        <v>0.2</v>
      </c>
      <c r="Y71" s="87">
        <v>0.05</v>
      </c>
      <c r="Z71" s="87">
        <v>0.1</v>
      </c>
      <c r="AA71" s="87">
        <v>0.02</v>
      </c>
      <c r="AB71" s="87">
        <v>0.02</v>
      </c>
      <c r="AC71" s="88">
        <v>0.01</v>
      </c>
      <c r="AD71" s="89">
        <f>SUMPRODUCT($V$68:$AC$68,V71:AC71)</f>
        <v>15.1</v>
      </c>
      <c r="AE71" s="90">
        <f>(SUMPRODUCT($V$68:$AC$68,V71:AC71))*$AE$68*U71</f>
        <v>3106.5070711907952</v>
      </c>
      <c r="AF71" s="90">
        <f>AE71/$AF$68</f>
        <v>51.775117853179921</v>
      </c>
      <c r="AG71" s="91">
        <f>AF71*(1+$AG$68)</f>
        <v>62.1301414238159</v>
      </c>
      <c r="AJ71" s="13" t="s">
        <v>33</v>
      </c>
      <c r="AL71" s="84">
        <v>2160.5053679639054</v>
      </c>
      <c r="AM71" s="85">
        <v>0.3</v>
      </c>
      <c r="AN71" s="85">
        <v>0.3</v>
      </c>
      <c r="AO71" s="86">
        <v>0.2</v>
      </c>
      <c r="AP71" s="87">
        <v>0.05</v>
      </c>
      <c r="AQ71" s="87">
        <v>0.1</v>
      </c>
      <c r="AR71" s="87">
        <v>0.02</v>
      </c>
      <c r="AS71" s="87">
        <v>0.02</v>
      </c>
      <c r="AT71" s="88">
        <v>0.01</v>
      </c>
      <c r="AU71" s="89">
        <f>SUMPRODUCT($AM$68:$AT$68,AM71:AT71)</f>
        <v>15.1</v>
      </c>
      <c r="AV71" s="90">
        <f>(SUMPRODUCT($AM$68:$AT$68,AM71:AT71))*$AV$68*AL71</f>
        <v>6524.7262112509943</v>
      </c>
      <c r="AW71" s="90">
        <f>AV71/$AW$68</f>
        <v>108.74543685418324</v>
      </c>
      <c r="AX71" s="91">
        <f>AW71*(1+$AX$68)</f>
        <v>130.49452422501989</v>
      </c>
    </row>
    <row r="72" spans="2:50" ht="15.75" customHeight="1" x14ac:dyDescent="0.25">
      <c r="B72" s="13" t="s">
        <v>1</v>
      </c>
      <c r="D72" s="84">
        <v>6268.4949090301006</v>
      </c>
      <c r="E72" s="87">
        <v>0.05</v>
      </c>
      <c r="F72" s="92">
        <v>0.15</v>
      </c>
      <c r="G72" s="87">
        <v>0.15</v>
      </c>
      <c r="H72" s="87">
        <v>0.25</v>
      </c>
      <c r="I72" s="87">
        <v>0.22</v>
      </c>
      <c r="J72" s="87">
        <v>0.1</v>
      </c>
      <c r="K72" s="87">
        <v>0.05</v>
      </c>
      <c r="L72" s="88">
        <v>0.03</v>
      </c>
      <c r="M72" s="89">
        <f>SUMPRODUCT($E$68:$L$68,E72:L72)</f>
        <v>43.924999999999997</v>
      </c>
      <c r="N72" s="90">
        <f>(SUMPRODUCT($E$68:$L$68,E72:L72))*$N$68*D72</f>
        <v>55068.727775829437</v>
      </c>
      <c r="O72" s="90">
        <f>N72/$O$68</f>
        <v>917.81212959715731</v>
      </c>
      <c r="P72" s="91">
        <f>O72*(1+$P$68)</f>
        <v>1101.3745555165888</v>
      </c>
      <c r="S72" s="13" t="s">
        <v>1</v>
      </c>
      <c r="U72" s="84">
        <v>8434.8867495909035</v>
      </c>
      <c r="V72" s="87">
        <v>0.05</v>
      </c>
      <c r="W72" s="92">
        <v>0.15</v>
      </c>
      <c r="X72" s="87">
        <v>0.15</v>
      </c>
      <c r="Y72" s="87">
        <v>0.25</v>
      </c>
      <c r="Z72" s="87">
        <v>0.22</v>
      </c>
      <c r="AA72" s="87">
        <v>0.1</v>
      </c>
      <c r="AB72" s="87">
        <v>0.05</v>
      </c>
      <c r="AC72" s="88">
        <v>0.03</v>
      </c>
      <c r="AD72" s="89">
        <f>SUMPRODUCT($V$68:$AC$68,V72:AC72)</f>
        <v>43.924999999999997</v>
      </c>
      <c r="AE72" s="90">
        <f>(SUMPRODUCT($V$68:$AC$68,V72:AC72))*$AE$68*U72</f>
        <v>74100.48009515609</v>
      </c>
      <c r="AF72" s="90">
        <f>AE72/$AF$68</f>
        <v>1235.0080015859348</v>
      </c>
      <c r="AG72" s="91">
        <f>AF72*(1+$AG$68)</f>
        <v>1482.0096019031218</v>
      </c>
      <c r="AJ72" s="13" t="s">
        <v>1</v>
      </c>
      <c r="AL72" s="84">
        <v>17716.144017304028</v>
      </c>
      <c r="AM72" s="87">
        <v>0.05</v>
      </c>
      <c r="AN72" s="92">
        <v>0.15</v>
      </c>
      <c r="AO72" s="87">
        <v>0.15</v>
      </c>
      <c r="AP72" s="87">
        <v>0.25</v>
      </c>
      <c r="AQ72" s="87">
        <v>0.22</v>
      </c>
      <c r="AR72" s="87">
        <v>0.1</v>
      </c>
      <c r="AS72" s="87">
        <v>0.05</v>
      </c>
      <c r="AT72" s="88">
        <v>0.03</v>
      </c>
      <c r="AU72" s="89">
        <f>SUMPRODUCT($AM$68:$AT$68,AM72:AT72)</f>
        <v>43.924999999999997</v>
      </c>
      <c r="AV72" s="90">
        <f>(SUMPRODUCT($AM$68:$AT$68,AM72:AT72))*$AV$68*AL72</f>
        <v>155636.32519201588</v>
      </c>
      <c r="AW72" s="90">
        <f>AV72/$AW$68</f>
        <v>2593.9387532002647</v>
      </c>
      <c r="AX72" s="91">
        <f>AW72*(1+$AX$68)</f>
        <v>3112.7265038403175</v>
      </c>
    </row>
    <row r="73" spans="2:50" ht="15.75" customHeight="1" x14ac:dyDescent="0.25">
      <c r="B73" s="13" t="s">
        <v>0</v>
      </c>
      <c r="D73" s="84">
        <v>3006.8390214046822</v>
      </c>
      <c r="E73" s="87">
        <v>0.2</v>
      </c>
      <c r="F73" s="92">
        <v>0.25</v>
      </c>
      <c r="G73" s="87">
        <v>0.3</v>
      </c>
      <c r="H73" s="87">
        <v>0.15</v>
      </c>
      <c r="I73" s="87">
        <v>0.05</v>
      </c>
      <c r="J73" s="87">
        <v>0.02</v>
      </c>
      <c r="K73" s="87">
        <v>0.02</v>
      </c>
      <c r="L73" s="88">
        <v>0.01</v>
      </c>
      <c r="M73" s="89">
        <f>SUMPRODUCT($E$68:$L$68,E73:L73)</f>
        <v>15.2</v>
      </c>
      <c r="N73" s="90">
        <f>(SUMPRODUCT($E$68:$L$68,E73:L73))*$N$68*D73</f>
        <v>9140.7906250702345</v>
      </c>
      <c r="O73" s="90">
        <f>N73/$O$68</f>
        <v>152.34651041783724</v>
      </c>
      <c r="P73" s="91">
        <f>O73*(1+$P$68)</f>
        <v>182.81581250140468</v>
      </c>
      <c r="S73" s="13" t="s">
        <v>0</v>
      </c>
      <c r="U73" s="84">
        <v>4046.0025872021401</v>
      </c>
      <c r="V73" s="87">
        <v>0.2</v>
      </c>
      <c r="W73" s="92">
        <v>0.25</v>
      </c>
      <c r="X73" s="87">
        <v>0.3</v>
      </c>
      <c r="Y73" s="87">
        <v>0.15</v>
      </c>
      <c r="Z73" s="87">
        <v>0.05</v>
      </c>
      <c r="AA73" s="87">
        <v>0.02</v>
      </c>
      <c r="AB73" s="87">
        <v>0.02</v>
      </c>
      <c r="AC73" s="88">
        <v>0.01</v>
      </c>
      <c r="AD73" s="89">
        <f>SUMPRODUCT($V$68:$AC$68,V73:AC73)</f>
        <v>15.2</v>
      </c>
      <c r="AE73" s="90">
        <f>(SUMPRODUCT($V$68:$AC$68,V73:AC73))*$AE$68*U73</f>
        <v>12299.847865094505</v>
      </c>
      <c r="AF73" s="90">
        <f>AE73/$AF$68</f>
        <v>204.99746441824175</v>
      </c>
      <c r="AG73" s="91">
        <f>AF73*(1+$AG$68)</f>
        <v>245.99695730189009</v>
      </c>
      <c r="AJ73" s="13" t="s">
        <v>0</v>
      </c>
      <c r="AL73" s="84">
        <v>8497.9877806580298</v>
      </c>
      <c r="AM73" s="87">
        <v>0.2</v>
      </c>
      <c r="AN73" s="92">
        <v>0.25</v>
      </c>
      <c r="AO73" s="87">
        <v>0.3</v>
      </c>
      <c r="AP73" s="87">
        <v>0.15</v>
      </c>
      <c r="AQ73" s="87">
        <v>0.05</v>
      </c>
      <c r="AR73" s="87">
        <v>0.02</v>
      </c>
      <c r="AS73" s="87">
        <v>0.02</v>
      </c>
      <c r="AT73" s="88">
        <v>0.01</v>
      </c>
      <c r="AU73" s="89">
        <f>SUMPRODUCT($AM$68:$AT$68,AM73:AT73)</f>
        <v>15.2</v>
      </c>
      <c r="AV73" s="90">
        <f>(SUMPRODUCT($AM$68:$AT$68,AM73:AT73))*$AV$68*AL73</f>
        <v>25833.882853200412</v>
      </c>
      <c r="AW73" s="90">
        <f>AV73/$AW$68</f>
        <v>430.56471422000686</v>
      </c>
      <c r="AX73" s="91">
        <f>AW73*(1+$AX$68)</f>
        <v>516.67765706400826</v>
      </c>
    </row>
    <row r="74" spans="2:50" ht="15.75" customHeight="1" x14ac:dyDescent="0.25">
      <c r="B74" s="13" t="s">
        <v>34</v>
      </c>
      <c r="D74" s="84">
        <v>5402.1175638795985</v>
      </c>
      <c r="E74" s="87">
        <v>0.05</v>
      </c>
      <c r="F74" s="92">
        <v>0.15</v>
      </c>
      <c r="G74" s="87">
        <v>0.2</v>
      </c>
      <c r="H74" s="87">
        <v>0.24</v>
      </c>
      <c r="I74" s="87">
        <v>0.15</v>
      </c>
      <c r="J74" s="87">
        <v>0.15</v>
      </c>
      <c r="K74" s="87">
        <v>0.05</v>
      </c>
      <c r="L74" s="88">
        <v>0.01</v>
      </c>
      <c r="M74" s="89">
        <f>SUMPRODUCT($E$68:$L$68,E74:L74)</f>
        <v>25.774999999999999</v>
      </c>
      <c r="N74" s="90">
        <f>(SUMPRODUCT($E$68:$L$68,E74:L74))*$N$68*D74</f>
        <v>27847.91604179933</v>
      </c>
      <c r="O74" s="90">
        <f>N74/$O$68</f>
        <v>464.13193402998883</v>
      </c>
      <c r="P74" s="91">
        <f>O74*(1+$P$68)</f>
        <v>556.95832083598657</v>
      </c>
      <c r="S74" s="13" t="s">
        <v>34</v>
      </c>
      <c r="U74" s="84">
        <v>7269.0893939563875</v>
      </c>
      <c r="V74" s="87">
        <v>0.05</v>
      </c>
      <c r="W74" s="92">
        <v>0.15</v>
      </c>
      <c r="X74" s="87">
        <v>0.2</v>
      </c>
      <c r="Y74" s="87">
        <v>0.24</v>
      </c>
      <c r="Z74" s="87">
        <v>0.15</v>
      </c>
      <c r="AA74" s="87">
        <v>0.15</v>
      </c>
      <c r="AB74" s="87">
        <v>0.05</v>
      </c>
      <c r="AC74" s="88">
        <v>0.01</v>
      </c>
      <c r="AD74" s="89">
        <f>SUMPRODUCT($V$68:$AC$68,V74:AC74)</f>
        <v>25.774999999999999</v>
      </c>
      <c r="AE74" s="90">
        <f>(SUMPRODUCT($V$68:$AC$68,V74:AC74))*$AE$68*U74</f>
        <v>37472.155825845177</v>
      </c>
      <c r="AF74" s="90">
        <f>AE74/$AF$68</f>
        <v>624.53593043075296</v>
      </c>
      <c r="AG74" s="91">
        <f>AF74*(1+$AG$68)</f>
        <v>749.4431165169035</v>
      </c>
      <c r="AJ74" s="13" t="s">
        <v>34</v>
      </c>
      <c r="AL74" s="84">
        <v>15267.571266944935</v>
      </c>
      <c r="AM74" s="87">
        <v>0.05</v>
      </c>
      <c r="AN74" s="92">
        <v>0.15</v>
      </c>
      <c r="AO74" s="87">
        <v>0.2</v>
      </c>
      <c r="AP74" s="87">
        <v>0.24</v>
      </c>
      <c r="AQ74" s="87">
        <v>0.15</v>
      </c>
      <c r="AR74" s="87">
        <v>0.15</v>
      </c>
      <c r="AS74" s="87">
        <v>0.05</v>
      </c>
      <c r="AT74" s="88">
        <v>0.01</v>
      </c>
      <c r="AU74" s="89">
        <f>SUMPRODUCT($AM$68:$AT$68,AM74:AT74)</f>
        <v>25.774999999999999</v>
      </c>
      <c r="AV74" s="90">
        <f>(SUMPRODUCT($AM$68:$AT$68,AM74:AT74))*$AV$68*AL74</f>
        <v>78704.329881101148</v>
      </c>
      <c r="AW74" s="90">
        <f>AV74/$AW$68</f>
        <v>1311.7388313516858</v>
      </c>
      <c r="AX74" s="91">
        <f>AW74*(1+$AX$68)</f>
        <v>1574.086597622023</v>
      </c>
    </row>
    <row r="75" spans="2:50" ht="15.75" customHeight="1" x14ac:dyDescent="0.25">
      <c r="B75" s="13" t="s">
        <v>35</v>
      </c>
      <c r="D75" s="84">
        <v>2395.2785424749163</v>
      </c>
      <c r="E75" s="87">
        <v>0.12</v>
      </c>
      <c r="F75" s="92">
        <v>0.1</v>
      </c>
      <c r="G75" s="87">
        <v>0.1</v>
      </c>
      <c r="H75" s="87">
        <v>0.2</v>
      </c>
      <c r="I75" s="87">
        <v>0.3</v>
      </c>
      <c r="J75" s="87">
        <v>0.1</v>
      </c>
      <c r="K75" s="87">
        <v>0.05</v>
      </c>
      <c r="L75" s="88">
        <v>0.03</v>
      </c>
      <c r="M75" s="89">
        <f>SUMPRODUCT($E$68:$L$68,E75:L75)</f>
        <v>44.36</v>
      </c>
      <c r="N75" s="90">
        <f>(SUMPRODUCT($E$68:$L$68,E75:L75))*$N$68*D75</f>
        <v>21250.911228837456</v>
      </c>
      <c r="O75" s="90">
        <f>N75/$O$68</f>
        <v>354.18185381395762</v>
      </c>
      <c r="P75" s="91">
        <f>O75*(1+$P$68)</f>
        <v>425.01822457674911</v>
      </c>
      <c r="S75" s="13" t="s">
        <v>35</v>
      </c>
      <c r="U75" s="84">
        <v>3223.0868067542474</v>
      </c>
      <c r="V75" s="87">
        <v>0.12</v>
      </c>
      <c r="W75" s="92">
        <v>0.1</v>
      </c>
      <c r="X75" s="87">
        <v>0.1</v>
      </c>
      <c r="Y75" s="87">
        <v>0.2</v>
      </c>
      <c r="Z75" s="87">
        <v>0.3</v>
      </c>
      <c r="AA75" s="87">
        <v>0.1</v>
      </c>
      <c r="AB75" s="87">
        <v>0.05</v>
      </c>
      <c r="AC75" s="88">
        <v>0.03</v>
      </c>
      <c r="AD75" s="89">
        <f>SUMPRODUCT($V$68:$AC$68,V75:AC75)</f>
        <v>44.36</v>
      </c>
      <c r="AE75" s="90">
        <f>(SUMPRODUCT($V$68:$AC$68,V75:AC75))*$AE$68*U75</f>
        <v>28595.226149523682</v>
      </c>
      <c r="AF75" s="90">
        <f>AE75/$AF$68</f>
        <v>476.58710249206138</v>
      </c>
      <c r="AG75" s="91">
        <f>AF75*(1+$AG$68)</f>
        <v>571.90452299047365</v>
      </c>
      <c r="AJ75" s="13" t="s">
        <v>35</v>
      </c>
      <c r="AL75" s="84">
        <v>6769.5834862869051</v>
      </c>
      <c r="AM75" s="87">
        <v>0.12</v>
      </c>
      <c r="AN75" s="92">
        <v>0.1</v>
      </c>
      <c r="AO75" s="87">
        <v>0.1</v>
      </c>
      <c r="AP75" s="87">
        <v>0.2</v>
      </c>
      <c r="AQ75" s="87">
        <v>0.3</v>
      </c>
      <c r="AR75" s="87">
        <v>0.1</v>
      </c>
      <c r="AS75" s="87">
        <v>0.05</v>
      </c>
      <c r="AT75" s="88">
        <v>0.03</v>
      </c>
      <c r="AU75" s="89">
        <f>SUMPRODUCT($AM$68:$AT$68,AM75:AT75)</f>
        <v>44.36</v>
      </c>
      <c r="AV75" s="90">
        <f>(SUMPRODUCT($AM$68:$AT$68,AM75:AT75))*$AV$68*AL75</f>
        <v>60059.744690337422</v>
      </c>
      <c r="AW75" s="90">
        <f>AV75/$AW$68</f>
        <v>1000.9957448389571</v>
      </c>
      <c r="AX75" s="91">
        <f>AW75*(1+$AX$68)</f>
        <v>1201.1948938067485</v>
      </c>
    </row>
    <row r="76" spans="2:50" ht="31.5" customHeight="1" x14ac:dyDescent="0.25">
      <c r="B76" s="13" t="s">
        <v>36</v>
      </c>
      <c r="D76" s="84">
        <v>1579.8645705685617</v>
      </c>
      <c r="E76" s="87">
        <v>0.05</v>
      </c>
      <c r="F76" s="92">
        <v>0.2</v>
      </c>
      <c r="G76" s="87">
        <v>0.3</v>
      </c>
      <c r="H76" s="87">
        <v>0.15</v>
      </c>
      <c r="I76" s="87">
        <v>0.14000000000000001</v>
      </c>
      <c r="J76" s="87">
        <v>0.1</v>
      </c>
      <c r="K76" s="87">
        <v>0.05</v>
      </c>
      <c r="L76" s="88">
        <v>0.01</v>
      </c>
      <c r="M76" s="89">
        <f>SUMPRODUCT($E$68:$L$68,E76:L76)</f>
        <v>22.975000000000001</v>
      </c>
      <c r="N76" s="90">
        <f>(SUMPRODUCT($E$68:$L$68,E76:L76))*$N$68*D76</f>
        <v>7259.477701762542</v>
      </c>
      <c r="O76" s="90">
        <f>N76/$O$68</f>
        <v>120.99129502937571</v>
      </c>
      <c r="P76" s="91">
        <f>O76*(1+$P$68)</f>
        <v>145.18955403525084</v>
      </c>
      <c r="S76" s="13" t="s">
        <v>36</v>
      </c>
      <c r="U76" s="84">
        <v>2125.8657661570564</v>
      </c>
      <c r="V76" s="87">
        <v>0.05</v>
      </c>
      <c r="W76" s="92">
        <v>0.2</v>
      </c>
      <c r="X76" s="87">
        <v>0.3</v>
      </c>
      <c r="Y76" s="87">
        <v>0.15</v>
      </c>
      <c r="Z76" s="87">
        <v>0.14000000000000001</v>
      </c>
      <c r="AA76" s="87">
        <v>0.1</v>
      </c>
      <c r="AB76" s="87">
        <v>0.05</v>
      </c>
      <c r="AC76" s="88">
        <v>0.01</v>
      </c>
      <c r="AD76" s="89">
        <f>SUMPRODUCT($V$68:$AC$68,V76:AC76)</f>
        <v>22.975000000000001</v>
      </c>
      <c r="AE76" s="90">
        <f>(SUMPRODUCT($V$68:$AC$68,V76:AC76))*$AE$68*U76</f>
        <v>9768.3531954916762</v>
      </c>
      <c r="AF76" s="90">
        <f>AE76/$AF$68</f>
        <v>162.80588659152792</v>
      </c>
      <c r="AG76" s="91">
        <f>AF76*(1+$AG$68)</f>
        <v>195.36706390983349</v>
      </c>
      <c r="AJ76" s="13" t="s">
        <v>36</v>
      </c>
      <c r="AL76" s="84">
        <v>4465.0444271254046</v>
      </c>
      <c r="AM76" s="87">
        <v>0.05</v>
      </c>
      <c r="AN76" s="92">
        <v>0.2</v>
      </c>
      <c r="AO76" s="87">
        <v>0.3</v>
      </c>
      <c r="AP76" s="87">
        <v>0.15</v>
      </c>
      <c r="AQ76" s="87">
        <v>0.14000000000000001</v>
      </c>
      <c r="AR76" s="87">
        <v>0.1</v>
      </c>
      <c r="AS76" s="87">
        <v>0.05</v>
      </c>
      <c r="AT76" s="88">
        <v>0.01</v>
      </c>
      <c r="AU76" s="89">
        <f>SUMPRODUCT($AM$68:$AT$68,AM76:AT76)</f>
        <v>22.975000000000001</v>
      </c>
      <c r="AV76" s="90">
        <f>(SUMPRODUCT($AM$68:$AT$68,AM76:AT76))*$AV$68*AL76</f>
        <v>20516.879142641235</v>
      </c>
      <c r="AW76" s="90">
        <f>AV76/$AW$68</f>
        <v>341.94798571068725</v>
      </c>
      <c r="AX76" s="91">
        <f>AW76*(1+$AX$68)</f>
        <v>410.33758285282471</v>
      </c>
    </row>
    <row r="77" spans="2:50" ht="15.75" customHeight="1" x14ac:dyDescent="0.25">
      <c r="B77" s="13" t="s">
        <v>37</v>
      </c>
      <c r="D77" s="84">
        <v>2650.0954086956522</v>
      </c>
      <c r="E77" s="87">
        <v>0.05</v>
      </c>
      <c r="F77" s="92">
        <v>0.1</v>
      </c>
      <c r="G77" s="87">
        <v>0.1</v>
      </c>
      <c r="H77" s="87">
        <v>0.15</v>
      </c>
      <c r="I77" s="87">
        <v>0.25</v>
      </c>
      <c r="J77" s="87">
        <v>0.16</v>
      </c>
      <c r="K77" s="87">
        <v>0.15</v>
      </c>
      <c r="L77" s="88">
        <v>0.04</v>
      </c>
      <c r="M77" s="89">
        <f>SUMPRODUCT($E$68:$L$68,E77:L77)</f>
        <v>66.575000000000003</v>
      </c>
      <c r="N77" s="90">
        <f>(SUMPRODUCT($E$68:$L$68,E77:L77))*$N$68*D77</f>
        <v>35286.020366782614</v>
      </c>
      <c r="O77" s="90">
        <f>N77/$O$68</f>
        <v>588.10033944637689</v>
      </c>
      <c r="P77" s="91">
        <f>O77*(1+$P$68)</f>
        <v>705.72040733565223</v>
      </c>
      <c r="S77" s="13" t="s">
        <v>37</v>
      </c>
      <c r="U77" s="84">
        <v>3565.9683819408692</v>
      </c>
      <c r="V77" s="87">
        <v>0.05</v>
      </c>
      <c r="W77" s="92">
        <v>0.1</v>
      </c>
      <c r="X77" s="87">
        <v>0.1</v>
      </c>
      <c r="Y77" s="87">
        <v>0.15</v>
      </c>
      <c r="Z77" s="87">
        <v>0.25</v>
      </c>
      <c r="AA77" s="87">
        <v>0.16</v>
      </c>
      <c r="AB77" s="87">
        <v>0.15</v>
      </c>
      <c r="AC77" s="88">
        <v>0.04</v>
      </c>
      <c r="AD77" s="89">
        <f>SUMPRODUCT($V$68:$AC$68,V77:AC77)</f>
        <v>66.575000000000003</v>
      </c>
      <c r="AE77" s="90">
        <f>(SUMPRODUCT($V$68:$AC$68,V77:AC77))*$AE$68*U77</f>
        <v>47480.869005542678</v>
      </c>
      <c r="AF77" s="90">
        <f>AE77/$AF$68</f>
        <v>791.34781675904458</v>
      </c>
      <c r="AG77" s="91">
        <f>AF77*(1+$AG$68)</f>
        <v>949.61738011085345</v>
      </c>
      <c r="AJ77" s="13" t="s">
        <v>37</v>
      </c>
      <c r="AL77" s="84">
        <v>7489.7519422748737</v>
      </c>
      <c r="AM77" s="87">
        <v>0.05</v>
      </c>
      <c r="AN77" s="92">
        <v>0.1</v>
      </c>
      <c r="AO77" s="87">
        <v>0.1</v>
      </c>
      <c r="AP77" s="87">
        <v>0.15</v>
      </c>
      <c r="AQ77" s="87">
        <v>0.25</v>
      </c>
      <c r="AR77" s="87">
        <v>0.16</v>
      </c>
      <c r="AS77" s="87">
        <v>0.15</v>
      </c>
      <c r="AT77" s="88">
        <v>0.04</v>
      </c>
      <c r="AU77" s="89">
        <f>SUMPRODUCT($AM$68:$AT$68,AM77:AT77)</f>
        <v>66.575000000000003</v>
      </c>
      <c r="AV77" s="90">
        <f>(SUMPRODUCT($AM$68:$AT$68,AM77:AT77))*$AV$68*AL77</f>
        <v>99726.047111389955</v>
      </c>
      <c r="AW77" s="90">
        <f>AV77/$AW$68</f>
        <v>1662.1007851898325</v>
      </c>
      <c r="AX77" s="91">
        <f>AW77*(1+$AX$68)</f>
        <v>1994.520942227799</v>
      </c>
    </row>
    <row r="78" spans="2:50" ht="47.25" customHeight="1" x14ac:dyDescent="0.25">
      <c r="B78" s="13" t="s">
        <v>38</v>
      </c>
      <c r="D78" s="84">
        <v>1630.8279438127088</v>
      </c>
      <c r="E78" s="87">
        <v>0.3</v>
      </c>
      <c r="F78" s="92">
        <v>0.25</v>
      </c>
      <c r="G78" s="87">
        <v>0.25</v>
      </c>
      <c r="H78" s="87">
        <v>0.1</v>
      </c>
      <c r="I78" s="87">
        <v>0.05</v>
      </c>
      <c r="J78" s="87">
        <v>0.02</v>
      </c>
      <c r="K78" s="87">
        <v>0.02</v>
      </c>
      <c r="L78" s="88">
        <v>0.01</v>
      </c>
      <c r="M78" s="89">
        <f>SUMPRODUCT($E$68:$L$68,E78:L78)</f>
        <v>14.9</v>
      </c>
      <c r="N78" s="90">
        <f>(SUMPRODUCT($E$68:$L$68,E78:L78))*$N$68*D78</f>
        <v>4859.8672725618726</v>
      </c>
      <c r="O78" s="90">
        <f>N78/$O$68</f>
        <v>80.997787876031211</v>
      </c>
      <c r="P78" s="91">
        <f>O78*(1+$P$68)</f>
        <v>97.197345451237453</v>
      </c>
      <c r="S78" s="13" t="s">
        <v>38</v>
      </c>
      <c r="U78" s="84">
        <v>2194.442081194381</v>
      </c>
      <c r="V78" s="87">
        <v>0.3</v>
      </c>
      <c r="W78" s="92">
        <v>0.25</v>
      </c>
      <c r="X78" s="87">
        <v>0.25</v>
      </c>
      <c r="Y78" s="87">
        <v>0.1</v>
      </c>
      <c r="Z78" s="87">
        <v>0.05</v>
      </c>
      <c r="AA78" s="87">
        <v>0.02</v>
      </c>
      <c r="AB78" s="87">
        <v>0.02</v>
      </c>
      <c r="AC78" s="88">
        <v>0.01</v>
      </c>
      <c r="AD78" s="89">
        <f>SUMPRODUCT($V$68:$AC$68,V78:AC78)</f>
        <v>14.9</v>
      </c>
      <c r="AE78" s="90">
        <f>(SUMPRODUCT($V$68:$AC$68,V78:AC78))*$AE$68*U78</f>
        <v>6539.437401959256</v>
      </c>
      <c r="AF78" s="90">
        <f>AE78/$AF$68</f>
        <v>108.9906233659876</v>
      </c>
      <c r="AG78" s="91">
        <f>AF78*(1+$AG$68)</f>
        <v>130.78874803918512</v>
      </c>
      <c r="AJ78" s="13" t="s">
        <v>38</v>
      </c>
      <c r="AL78" s="84">
        <v>4609.0781183229983</v>
      </c>
      <c r="AM78" s="87">
        <v>0.3</v>
      </c>
      <c r="AN78" s="92">
        <v>0.25</v>
      </c>
      <c r="AO78" s="87">
        <v>0.25</v>
      </c>
      <c r="AP78" s="87">
        <v>0.1</v>
      </c>
      <c r="AQ78" s="87">
        <v>0.05</v>
      </c>
      <c r="AR78" s="87">
        <v>0.02</v>
      </c>
      <c r="AS78" s="87">
        <v>0.02</v>
      </c>
      <c r="AT78" s="88">
        <v>0.01</v>
      </c>
      <c r="AU78" s="89">
        <f>SUMPRODUCT($AM$68:$AT$68,AM78:AT78)</f>
        <v>14.9</v>
      </c>
      <c r="AV78" s="90">
        <f>(SUMPRODUCT($AM$68:$AT$68,AM78:AT78))*$AV$68*AL78</f>
        <v>13735.052792602537</v>
      </c>
      <c r="AW78" s="90">
        <f>AV78/$AW$68</f>
        <v>228.91754654337561</v>
      </c>
      <c r="AX78" s="91">
        <f>AW78*(1+$AX$68)</f>
        <v>274.70105585205073</v>
      </c>
    </row>
    <row r="79" spans="2:50" ht="15.75" customHeight="1" x14ac:dyDescent="0.25">
      <c r="B79" s="13" t="s">
        <v>39</v>
      </c>
      <c r="D79" s="84">
        <v>4229.9599792642139</v>
      </c>
      <c r="E79" s="87">
        <v>0.1</v>
      </c>
      <c r="F79" s="92">
        <v>0.12</v>
      </c>
      <c r="G79" s="87">
        <v>0.12</v>
      </c>
      <c r="H79" s="87">
        <v>0.1</v>
      </c>
      <c r="I79" s="87">
        <v>0.18</v>
      </c>
      <c r="J79" s="87">
        <v>0.2</v>
      </c>
      <c r="K79" s="87">
        <v>0.15</v>
      </c>
      <c r="L79" s="88">
        <v>0.03</v>
      </c>
      <c r="M79" s="89">
        <f>SUMPRODUCT($E$68:$L$68,E79:L79)</f>
        <v>57.71</v>
      </c>
      <c r="N79" s="90">
        <f>(SUMPRODUCT($E$68:$L$68,E79:L79))*$N$68*D79</f>
        <v>48822.198080667564</v>
      </c>
      <c r="O79" s="90">
        <f>N79/$O$68</f>
        <v>813.70330134445942</v>
      </c>
      <c r="P79" s="91">
        <f>O79*(1+$P$68)</f>
        <v>976.44396161335123</v>
      </c>
      <c r="S79" s="13" t="s">
        <v>39</v>
      </c>
      <c r="U79" s="84">
        <v>5691.8341480979261</v>
      </c>
      <c r="V79" s="87">
        <v>0.1</v>
      </c>
      <c r="W79" s="92">
        <v>0.12</v>
      </c>
      <c r="X79" s="87">
        <v>0.12</v>
      </c>
      <c r="Y79" s="87">
        <v>0.1</v>
      </c>
      <c r="Z79" s="87">
        <v>0.18</v>
      </c>
      <c r="AA79" s="87">
        <v>0.2</v>
      </c>
      <c r="AB79" s="87">
        <v>0.15</v>
      </c>
      <c r="AC79" s="88">
        <v>0.03</v>
      </c>
      <c r="AD79" s="89">
        <f>SUMPRODUCT($V$68:$AC$68,V79:AC79)</f>
        <v>57.71</v>
      </c>
      <c r="AE79" s="90">
        <f>(SUMPRODUCT($V$68:$AC$68,V79:AC79))*$AE$68*U79</f>
        <v>65695.149737346277</v>
      </c>
      <c r="AF79" s="90">
        <f>AE79/$AF$68</f>
        <v>1094.9191622891046</v>
      </c>
      <c r="AG79" s="91">
        <f>AF79*(1+$AG$68)</f>
        <v>1313.9029947469255</v>
      </c>
      <c r="AJ79" s="13" t="s">
        <v>39</v>
      </c>
      <c r="AL79" s="84">
        <v>11954.796369400279</v>
      </c>
      <c r="AM79" s="87">
        <v>0.1</v>
      </c>
      <c r="AN79" s="92">
        <v>0.12</v>
      </c>
      <c r="AO79" s="87">
        <v>0.12</v>
      </c>
      <c r="AP79" s="87">
        <v>0.1</v>
      </c>
      <c r="AQ79" s="87">
        <v>0.18</v>
      </c>
      <c r="AR79" s="87">
        <v>0.2</v>
      </c>
      <c r="AS79" s="87">
        <v>0.15</v>
      </c>
      <c r="AT79" s="88">
        <v>0.03</v>
      </c>
      <c r="AU79" s="89">
        <f>SUMPRODUCT($AM$68:$AT$68,AM79:AT79)</f>
        <v>57.71</v>
      </c>
      <c r="AV79" s="90">
        <f>(SUMPRODUCT($AM$68:$AT$68,AM79:AT79))*$AV$68*AL79</f>
        <v>137982.25969561804</v>
      </c>
      <c r="AW79" s="90">
        <f>AV79/$AW$68</f>
        <v>2299.7043282603004</v>
      </c>
      <c r="AX79" s="91">
        <f>AW79*(1+$AX$68)</f>
        <v>2759.6451939123604</v>
      </c>
    </row>
    <row r="80" spans="2:50" ht="15.75" customHeight="1" x14ac:dyDescent="0.25">
      <c r="B80" s="13" t="s">
        <v>3</v>
      </c>
      <c r="D80" s="84">
        <v>6217.5315357859527</v>
      </c>
      <c r="E80" s="87">
        <v>0.1</v>
      </c>
      <c r="F80" s="92">
        <v>0.15</v>
      </c>
      <c r="G80" s="87">
        <v>0.2</v>
      </c>
      <c r="H80" s="87">
        <v>0.18</v>
      </c>
      <c r="I80" s="87">
        <v>0.15</v>
      </c>
      <c r="J80" s="87">
        <v>0.1</v>
      </c>
      <c r="K80" s="87">
        <v>0.1</v>
      </c>
      <c r="L80" s="88">
        <v>0.02</v>
      </c>
      <c r="M80" s="89">
        <f>SUMPRODUCT($E$68:$L$68,E80:L80)</f>
        <v>38</v>
      </c>
      <c r="N80" s="90">
        <f>(SUMPRODUCT($E$68:$L$68,E80:L80))*$N$68*D80</f>
        <v>47253.239671973242</v>
      </c>
      <c r="O80" s="90">
        <f>N80/$O$68</f>
        <v>787.55399453288737</v>
      </c>
      <c r="P80" s="91">
        <f>O80*(1+$P$68)</f>
        <v>945.06479343946478</v>
      </c>
      <c r="S80" s="13" t="s">
        <v>3</v>
      </c>
      <c r="U80" s="84">
        <v>8366.3104345535776</v>
      </c>
      <c r="V80" s="87">
        <v>0.1</v>
      </c>
      <c r="W80" s="92">
        <v>0.15</v>
      </c>
      <c r="X80" s="87">
        <v>0.2</v>
      </c>
      <c r="Y80" s="87">
        <v>0.18</v>
      </c>
      <c r="Z80" s="87">
        <v>0.15</v>
      </c>
      <c r="AA80" s="87">
        <v>0.1</v>
      </c>
      <c r="AB80" s="87">
        <v>0.1</v>
      </c>
      <c r="AC80" s="88">
        <v>0.02</v>
      </c>
      <c r="AD80" s="89">
        <f>SUMPRODUCT($V$68:$AC$68,V80:AC80)</f>
        <v>38</v>
      </c>
      <c r="AE80" s="90">
        <f>(SUMPRODUCT($V$68:$AC$68,V80:AC80))*$AE$68*U80</f>
        <v>63583.959302607196</v>
      </c>
      <c r="AF80" s="90">
        <f>AE80/$AF$68</f>
        <v>1059.7326550434532</v>
      </c>
      <c r="AG80" s="91">
        <f>AF80*(1+$AG$68)</f>
        <v>1271.6791860521437</v>
      </c>
      <c r="AJ80" s="13" t="s">
        <v>3</v>
      </c>
      <c r="AL80" s="84">
        <v>17572.110326106435</v>
      </c>
      <c r="AM80" s="87">
        <v>0.1</v>
      </c>
      <c r="AN80" s="92">
        <v>0.15</v>
      </c>
      <c r="AO80" s="87">
        <v>0.2</v>
      </c>
      <c r="AP80" s="87">
        <v>0.18</v>
      </c>
      <c r="AQ80" s="87">
        <v>0.15</v>
      </c>
      <c r="AR80" s="87">
        <v>0.1</v>
      </c>
      <c r="AS80" s="87">
        <v>0.1</v>
      </c>
      <c r="AT80" s="88">
        <v>0.02</v>
      </c>
      <c r="AU80" s="89">
        <f>SUMPRODUCT($AM$68:$AT$68,AM80:AT80)</f>
        <v>38</v>
      </c>
      <c r="AV80" s="90">
        <f>(SUMPRODUCT($AM$68:$AT$68,AM80:AT80))*$AV$68*AL80</f>
        <v>133548.03847840891</v>
      </c>
      <c r="AW80" s="90">
        <f>AV80/$AW$68</f>
        <v>2225.8006413068151</v>
      </c>
      <c r="AX80" s="91">
        <f>AW80*(1+$AX$68)</f>
        <v>2670.960769568178</v>
      </c>
    </row>
    <row r="81" spans="2:50" ht="31.5" customHeight="1" x14ac:dyDescent="0.25">
      <c r="B81" s="13" t="s">
        <v>40</v>
      </c>
      <c r="D81" s="84">
        <v>662.52385217391293</v>
      </c>
      <c r="E81" s="87">
        <v>0.25</v>
      </c>
      <c r="F81" s="92">
        <v>0.2</v>
      </c>
      <c r="G81" s="87">
        <v>0.17</v>
      </c>
      <c r="H81" s="87">
        <v>0.15</v>
      </c>
      <c r="I81" s="87">
        <v>0.1</v>
      </c>
      <c r="J81" s="87">
        <v>0.1</v>
      </c>
      <c r="K81" s="87">
        <v>0.02</v>
      </c>
      <c r="L81" s="88">
        <v>0.01</v>
      </c>
      <c r="M81" s="89">
        <f>SUMPRODUCT($E$68:$L$68,E81:L81)</f>
        <v>19.414999999999999</v>
      </c>
      <c r="N81" s="90">
        <f>(SUMPRODUCT($E$68:$L$68,E81:L81))*$N$68*D81</f>
        <v>2572.5801179913037</v>
      </c>
      <c r="O81" s="90">
        <f>N81/$O$68</f>
        <v>42.876335299855064</v>
      </c>
      <c r="P81" s="91">
        <f>O81*(1+$P$68)</f>
        <v>51.451602359826076</v>
      </c>
      <c r="S81" s="13" t="s">
        <v>40</v>
      </c>
      <c r="U81" s="84">
        <v>891.49209548521719</v>
      </c>
      <c r="V81" s="87">
        <v>0.25</v>
      </c>
      <c r="W81" s="92">
        <v>0.2</v>
      </c>
      <c r="X81" s="87">
        <v>0.17</v>
      </c>
      <c r="Y81" s="87">
        <v>0.15</v>
      </c>
      <c r="Z81" s="87">
        <v>0.1</v>
      </c>
      <c r="AA81" s="87">
        <v>0.1</v>
      </c>
      <c r="AB81" s="87">
        <v>0.02</v>
      </c>
      <c r="AC81" s="88">
        <v>0.01</v>
      </c>
      <c r="AD81" s="89">
        <f>SUMPRODUCT($V$68:$AC$68,V81:AC81)</f>
        <v>19.414999999999999</v>
      </c>
      <c r="AE81" s="90">
        <f>(SUMPRODUCT($V$68:$AC$68,V81:AC81))*$AE$68*U81</f>
        <v>3461.6638067690983</v>
      </c>
      <c r="AF81" s="90">
        <f>AE81/$AF$68</f>
        <v>57.694396779484968</v>
      </c>
      <c r="AG81" s="91">
        <f>AF81*(1+$AG$68)</f>
        <v>69.233276135381956</v>
      </c>
      <c r="AJ81" s="13" t="s">
        <v>40</v>
      </c>
      <c r="AL81" s="84">
        <v>1872.4379855687182</v>
      </c>
      <c r="AM81" s="87">
        <v>0.25</v>
      </c>
      <c r="AN81" s="92">
        <v>0.2</v>
      </c>
      <c r="AO81" s="87">
        <v>0.17</v>
      </c>
      <c r="AP81" s="87">
        <v>0.15</v>
      </c>
      <c r="AQ81" s="87">
        <v>0.1</v>
      </c>
      <c r="AR81" s="87">
        <v>0.1</v>
      </c>
      <c r="AS81" s="87">
        <v>0.02</v>
      </c>
      <c r="AT81" s="88">
        <v>0.01</v>
      </c>
      <c r="AU81" s="89">
        <f>SUMPRODUCT($AM$68:$AT$68,AM81:AT81)</f>
        <v>19.414999999999999</v>
      </c>
      <c r="AV81" s="90">
        <f>(SUMPRODUCT($AM$68:$AT$68,AM81:AT81))*$AV$68*AL81</f>
        <v>7270.676697963333</v>
      </c>
      <c r="AW81" s="90">
        <f>AV81/$AW$68</f>
        <v>121.17794496605555</v>
      </c>
      <c r="AX81" s="91">
        <f>AW81*(1+$AX$68)</f>
        <v>145.41353395926666</v>
      </c>
    </row>
    <row r="82" spans="2:50" ht="15.75" customHeight="1" x14ac:dyDescent="0.25">
      <c r="B82" s="13" t="s">
        <v>2</v>
      </c>
      <c r="D82" s="84">
        <v>2242.3884227424751</v>
      </c>
      <c r="E82" s="87">
        <v>0.3</v>
      </c>
      <c r="F82" s="92">
        <v>0.27</v>
      </c>
      <c r="G82" s="87">
        <v>0.2</v>
      </c>
      <c r="H82" s="87">
        <v>0.05</v>
      </c>
      <c r="I82" s="87">
        <v>0.1</v>
      </c>
      <c r="J82" s="87">
        <v>0.05</v>
      </c>
      <c r="K82" s="87">
        <v>0.02</v>
      </c>
      <c r="L82" s="88">
        <v>0.01</v>
      </c>
      <c r="M82" s="89">
        <f>SUMPRODUCT($E$68:$L$68,E82:L82)</f>
        <v>16.57</v>
      </c>
      <c r="N82" s="90">
        <f>(SUMPRODUCT($E$68:$L$68,E82:L82))*$N$68*D82</f>
        <v>7431.2752329685627</v>
      </c>
      <c r="O82" s="90">
        <f>N82/$O$68</f>
        <v>123.85458721614272</v>
      </c>
      <c r="P82" s="91">
        <f>O82*(1+$P$68)</f>
        <v>148.62550465937124</v>
      </c>
      <c r="S82" s="13" t="s">
        <v>2</v>
      </c>
      <c r="U82" s="84">
        <v>3017.3578616422742</v>
      </c>
      <c r="V82" s="87">
        <v>0.3</v>
      </c>
      <c r="W82" s="92">
        <v>0.27</v>
      </c>
      <c r="X82" s="87">
        <v>0.2</v>
      </c>
      <c r="Y82" s="87">
        <v>0.05</v>
      </c>
      <c r="Z82" s="87">
        <v>0.1</v>
      </c>
      <c r="AA82" s="87">
        <v>0.05</v>
      </c>
      <c r="AB82" s="87">
        <v>0.02</v>
      </c>
      <c r="AC82" s="88">
        <v>0.01</v>
      </c>
      <c r="AD82" s="89">
        <f>SUMPRODUCT($V$68:$AC$68,V82:AC82)</f>
        <v>16.57</v>
      </c>
      <c r="AE82" s="90">
        <f>(SUMPRODUCT($V$68:$AC$68,V82:AC82))*$AE$68*U82</f>
        <v>9999.5239534824977</v>
      </c>
      <c r="AF82" s="90">
        <f>AE82/$AF$68</f>
        <v>166.65873255804163</v>
      </c>
      <c r="AG82" s="91">
        <f>AF82*(1+$AG$68)</f>
        <v>199.99047906964995</v>
      </c>
      <c r="AJ82" s="13" t="s">
        <v>2</v>
      </c>
      <c r="AL82" s="84">
        <v>6337.4824126941239</v>
      </c>
      <c r="AM82" s="87">
        <v>0.3</v>
      </c>
      <c r="AN82" s="92">
        <v>0.27</v>
      </c>
      <c r="AO82" s="87">
        <v>0.2</v>
      </c>
      <c r="AP82" s="87">
        <v>0.05</v>
      </c>
      <c r="AQ82" s="87">
        <v>0.1</v>
      </c>
      <c r="AR82" s="87">
        <v>0.05</v>
      </c>
      <c r="AS82" s="87">
        <v>0.02</v>
      </c>
      <c r="AT82" s="88">
        <v>0.01</v>
      </c>
      <c r="AU82" s="89">
        <f>SUMPRODUCT($AM$68:$AT$68,AM82:AT82)</f>
        <v>16.57</v>
      </c>
      <c r="AV82" s="90">
        <f>(SUMPRODUCT($AM$68:$AT$68,AM82:AT82))*$AV$68*AL82</f>
        <v>21002.416715668329</v>
      </c>
      <c r="AW82" s="90">
        <f>AV82/$AW$68</f>
        <v>350.04027859447217</v>
      </c>
      <c r="AX82" s="91">
        <f>AW82*(1+$AX$68)</f>
        <v>420.04833431336658</v>
      </c>
    </row>
    <row r="83" spans="2:50" ht="15.75" customHeight="1" x14ac:dyDescent="0.25">
      <c r="B83" s="13" t="s">
        <v>41</v>
      </c>
      <c r="D83" s="84">
        <v>2344.3151692307688</v>
      </c>
      <c r="E83" s="87">
        <v>0.1</v>
      </c>
      <c r="F83" s="92">
        <v>0.14000000000000001</v>
      </c>
      <c r="G83" s="87">
        <v>0.15</v>
      </c>
      <c r="H83" s="87">
        <v>0.2</v>
      </c>
      <c r="I83" s="87">
        <v>0.25</v>
      </c>
      <c r="J83" s="87">
        <v>0.1</v>
      </c>
      <c r="K83" s="87">
        <v>0.05</v>
      </c>
      <c r="L83" s="88">
        <v>0.01</v>
      </c>
      <c r="M83" s="89">
        <f>SUMPRODUCT($E$68:$L$68,E83:L83)</f>
        <v>23.990000000000002</v>
      </c>
      <c r="N83" s="90">
        <f>(SUMPRODUCT($E$68:$L$68,E83:L83))*$N$68*D83</f>
        <v>11248.024181969231</v>
      </c>
      <c r="O83" s="90">
        <f>N83/$O$68</f>
        <v>187.46706969948718</v>
      </c>
      <c r="P83" s="91">
        <f>O83*(1+$P$68)</f>
        <v>224.96048363938462</v>
      </c>
      <c r="S83" s="13" t="s">
        <v>41</v>
      </c>
      <c r="U83" s="84">
        <v>3154.5104917169224</v>
      </c>
      <c r="V83" s="87">
        <v>0.1</v>
      </c>
      <c r="W83" s="92">
        <v>0.14000000000000001</v>
      </c>
      <c r="X83" s="87">
        <v>0.15</v>
      </c>
      <c r="Y83" s="87">
        <v>0.2</v>
      </c>
      <c r="Z83" s="87">
        <v>0.25</v>
      </c>
      <c r="AA83" s="87">
        <v>0.1</v>
      </c>
      <c r="AB83" s="87">
        <v>0.05</v>
      </c>
      <c r="AC83" s="88">
        <v>0.01</v>
      </c>
      <c r="AD83" s="89">
        <f>SUMPRODUCT($V$68:$AC$68,V83:AC83)</f>
        <v>23.990000000000002</v>
      </c>
      <c r="AE83" s="90">
        <f>(SUMPRODUCT($V$68:$AC$68,V83:AC83))*$AE$68*U83</f>
        <v>15135.341339257797</v>
      </c>
      <c r="AF83" s="90">
        <f>AE83/$AF$68</f>
        <v>252.25568898762995</v>
      </c>
      <c r="AG83" s="91">
        <f>AF83*(1+$AG$68)</f>
        <v>302.70682678515595</v>
      </c>
      <c r="AJ83" s="13" t="s">
        <v>41</v>
      </c>
      <c r="AL83" s="84">
        <v>6625.5497950893105</v>
      </c>
      <c r="AM83" s="87">
        <v>0.1</v>
      </c>
      <c r="AN83" s="92">
        <v>0.14000000000000001</v>
      </c>
      <c r="AO83" s="87">
        <v>0.15</v>
      </c>
      <c r="AP83" s="87">
        <v>0.2</v>
      </c>
      <c r="AQ83" s="87">
        <v>0.25</v>
      </c>
      <c r="AR83" s="87">
        <v>0.1</v>
      </c>
      <c r="AS83" s="87">
        <v>0.05</v>
      </c>
      <c r="AT83" s="88">
        <v>0.01</v>
      </c>
      <c r="AU83" s="89">
        <f>SUMPRODUCT($AM$68:$AT$68,AM83:AT83)</f>
        <v>23.990000000000002</v>
      </c>
      <c r="AV83" s="90">
        <f>(SUMPRODUCT($AM$68:$AT$68,AM83:AT83))*$AV$68*AL83</f>
        <v>31789.387916838517</v>
      </c>
      <c r="AW83" s="90">
        <f>AV83/$AW$68</f>
        <v>529.82313194730864</v>
      </c>
      <c r="AX83" s="91">
        <f>AW83*(1+$AX$68)</f>
        <v>635.78775833677037</v>
      </c>
    </row>
    <row r="84" spans="2:50" ht="15.75" customHeight="1" x14ac:dyDescent="0.25">
      <c r="B84" s="13" t="s">
        <v>42</v>
      </c>
      <c r="D84" s="84">
        <v>2446.2419157190634</v>
      </c>
      <c r="E84" s="87">
        <v>0.1</v>
      </c>
      <c r="F84" s="92">
        <v>0.15</v>
      </c>
      <c r="G84" s="87">
        <v>0.2</v>
      </c>
      <c r="H84" s="87">
        <v>0.22</v>
      </c>
      <c r="I84" s="87">
        <v>0.2</v>
      </c>
      <c r="J84" s="87">
        <v>0.1</v>
      </c>
      <c r="K84" s="87">
        <v>0.02</v>
      </c>
      <c r="L84" s="88">
        <v>0.01</v>
      </c>
      <c r="M84" s="89">
        <f>SUMPRODUCT($E$68:$L$68,E84:L84)</f>
        <v>20.7</v>
      </c>
      <c r="N84" s="90">
        <f>(SUMPRODUCT($E$68:$L$68,E84:L84))*$N$68*D84</f>
        <v>10127.441531076922</v>
      </c>
      <c r="O84" s="90">
        <f>N84/$O$68</f>
        <v>168.79069218461535</v>
      </c>
      <c r="P84" s="91">
        <f>O84*(1+$P$68)</f>
        <v>202.54883062153843</v>
      </c>
      <c r="S84" s="13" t="s">
        <v>42</v>
      </c>
      <c r="U84" s="84">
        <v>3291.6631217915715</v>
      </c>
      <c r="V84" s="87">
        <v>0.1</v>
      </c>
      <c r="W84" s="92">
        <v>0.15</v>
      </c>
      <c r="X84" s="87">
        <v>0.2</v>
      </c>
      <c r="Y84" s="87">
        <v>0.22</v>
      </c>
      <c r="Z84" s="87">
        <v>0.2</v>
      </c>
      <c r="AA84" s="87">
        <v>0.1</v>
      </c>
      <c r="AB84" s="87">
        <v>0.02</v>
      </c>
      <c r="AC84" s="88">
        <v>0.01</v>
      </c>
      <c r="AD84" s="89">
        <f>SUMPRODUCT($V$68:$AC$68,V84:AC84)</f>
        <v>20.7</v>
      </c>
      <c r="AE84" s="90">
        <f>(SUMPRODUCT($V$68:$AC$68,V84:AC84))*$AE$68*U84</f>
        <v>13627.485324217105</v>
      </c>
      <c r="AF84" s="90">
        <f>AE84/$AF$68</f>
        <v>227.12475540361842</v>
      </c>
      <c r="AG84" s="91">
        <f>AF84*(1+$AG$68)</f>
        <v>272.5497064843421</v>
      </c>
      <c r="AJ84" s="13" t="s">
        <v>42</v>
      </c>
      <c r="AL84" s="84">
        <v>6913.6171774844979</v>
      </c>
      <c r="AM84" s="87">
        <v>0.1</v>
      </c>
      <c r="AN84" s="92">
        <v>0.15</v>
      </c>
      <c r="AO84" s="87">
        <v>0.2</v>
      </c>
      <c r="AP84" s="87">
        <v>0.22</v>
      </c>
      <c r="AQ84" s="87">
        <v>0.2</v>
      </c>
      <c r="AR84" s="87">
        <v>0.1</v>
      </c>
      <c r="AS84" s="87">
        <v>0.02</v>
      </c>
      <c r="AT84" s="88">
        <v>0.01</v>
      </c>
      <c r="AU84" s="89">
        <f>SUMPRODUCT($AM$68:$AT$68,AM84:AT84)</f>
        <v>20.7</v>
      </c>
      <c r="AV84" s="90">
        <f>(SUMPRODUCT($AM$68:$AT$68,AM84:AT84))*$AV$68*AL84</f>
        <v>28622.37511478582</v>
      </c>
      <c r="AW84" s="90">
        <f>AV84/$AW$68</f>
        <v>477.03958524643036</v>
      </c>
      <c r="AX84" s="91">
        <f>AW84*(1+$AX$68)</f>
        <v>572.44750229571639</v>
      </c>
    </row>
    <row r="85" spans="2:50" ht="15.75" customHeight="1" x14ac:dyDescent="0.25">
      <c r="B85" s="13" t="s">
        <v>43</v>
      </c>
      <c r="D85" s="84">
        <v>40282.426755852845</v>
      </c>
      <c r="E85" s="87">
        <v>0.05</v>
      </c>
      <c r="F85" s="92">
        <v>0.05</v>
      </c>
      <c r="G85" s="87">
        <v>0.1</v>
      </c>
      <c r="H85" s="87">
        <v>0.1</v>
      </c>
      <c r="I85" s="87">
        <v>0.15</v>
      </c>
      <c r="J85" s="87">
        <v>0.2</v>
      </c>
      <c r="K85" s="87">
        <v>0.25</v>
      </c>
      <c r="L85" s="88">
        <v>0.1</v>
      </c>
      <c r="M85" s="89">
        <f>SUMPRODUCT($E$68:$L$68,E85:L85)</f>
        <v>137.27500000000001</v>
      </c>
      <c r="N85" s="90">
        <f>(SUMPRODUCT($E$68:$L$68,E85:L85))*$N$68*D85</f>
        <v>1105954.02658194</v>
      </c>
      <c r="O85" s="90">
        <f>N85/$O$68</f>
        <v>18432.567109699001</v>
      </c>
      <c r="P85" s="91">
        <f>O85*(1+$P$68)</f>
        <v>22119.0805316388</v>
      </c>
      <c r="S85" s="13" t="s">
        <v>43</v>
      </c>
      <c r="U85" s="84">
        <v>41523.49435134721</v>
      </c>
      <c r="V85" s="87">
        <v>0.05</v>
      </c>
      <c r="W85" s="92">
        <v>0.05</v>
      </c>
      <c r="X85" s="87">
        <v>0.1</v>
      </c>
      <c r="Y85" s="87">
        <v>0.1</v>
      </c>
      <c r="Z85" s="87">
        <v>0.15</v>
      </c>
      <c r="AA85" s="87">
        <v>0.2</v>
      </c>
      <c r="AB85" s="87">
        <v>0.25</v>
      </c>
      <c r="AC85" s="88">
        <v>0.1</v>
      </c>
      <c r="AD85" s="89">
        <f>SUMPRODUCT($V$68:$AC$68,V85:AC85)</f>
        <v>137.27500000000001</v>
      </c>
      <c r="AE85" s="90">
        <f>(SUMPRODUCT($V$68:$AC$68,V85:AC85))*$AE$68*U85</f>
        <v>1140027.5374162376</v>
      </c>
      <c r="AF85" s="90">
        <f>AE85/$AF$68</f>
        <v>19000.458956937295</v>
      </c>
      <c r="AG85" s="91">
        <f>AF85*(1+$AG$68)</f>
        <v>22800.550748324753</v>
      </c>
      <c r="AJ85" s="13" t="s">
        <v>43</v>
      </c>
      <c r="AL85" s="84">
        <v>44256.768948026591</v>
      </c>
      <c r="AM85" s="87">
        <v>0.05</v>
      </c>
      <c r="AN85" s="92">
        <v>0.05</v>
      </c>
      <c r="AO85" s="87">
        <v>0.1</v>
      </c>
      <c r="AP85" s="87">
        <v>0.1</v>
      </c>
      <c r="AQ85" s="87">
        <v>0.15</v>
      </c>
      <c r="AR85" s="87">
        <v>0.2</v>
      </c>
      <c r="AS85" s="87">
        <v>0.25</v>
      </c>
      <c r="AT85" s="88">
        <v>0.1</v>
      </c>
      <c r="AU85" s="89">
        <f>SUMPRODUCT($AM$68:$AT$68,AM85:AT85)</f>
        <v>137.27500000000001</v>
      </c>
      <c r="AV85" s="90">
        <f>(SUMPRODUCT($AM$68:$AT$68,AM85:AT85))*$AV$68*AL85</f>
        <v>1215069.5914680702</v>
      </c>
      <c r="AW85" s="90">
        <f>AV85/$AW$68</f>
        <v>20251.159857801169</v>
      </c>
      <c r="AX85" s="91">
        <f>AW85*(1+$AX$68)</f>
        <v>24301.391829361401</v>
      </c>
    </row>
    <row r="86" spans="2:50" ht="15.75" customHeight="1" thickBot="1" x14ac:dyDescent="0.3">
      <c r="B86" s="103" t="s">
        <v>44</v>
      </c>
      <c r="D86" s="93">
        <v>2376.3013698630139</v>
      </c>
      <c r="E86" s="94">
        <v>0.05</v>
      </c>
      <c r="F86" s="94">
        <v>0.13</v>
      </c>
      <c r="G86" s="95">
        <v>0.2</v>
      </c>
      <c r="H86" s="95">
        <v>0.25</v>
      </c>
      <c r="I86" s="95">
        <v>0.2</v>
      </c>
      <c r="J86" s="95">
        <v>0.1</v>
      </c>
      <c r="K86" s="95">
        <v>0.05</v>
      </c>
      <c r="L86" s="96">
        <v>0.02</v>
      </c>
      <c r="M86" s="97">
        <f>SUMPRODUCT($E$68:$L$68,E86:L86)</f>
        <v>33.805</v>
      </c>
      <c r="N86" s="98">
        <f>(SUMPRODUCT($E$68:$L$68,E86:L86))*$N$68*D86</f>
        <v>16066.173561643836</v>
      </c>
      <c r="O86" s="98">
        <f>N86/$O$68</f>
        <v>267.76955936073063</v>
      </c>
      <c r="P86" s="99">
        <f>O86*(1+$P$68)</f>
        <v>321.32347123287673</v>
      </c>
      <c r="S86" s="103" t="s">
        <v>44</v>
      </c>
      <c r="U86" s="93">
        <v>2594.9805034246574</v>
      </c>
      <c r="V86" s="94">
        <v>0.05</v>
      </c>
      <c r="W86" s="94">
        <v>0.13</v>
      </c>
      <c r="X86" s="95">
        <v>0.2</v>
      </c>
      <c r="Y86" s="95">
        <v>0.25</v>
      </c>
      <c r="Z86" s="95">
        <v>0.2</v>
      </c>
      <c r="AA86" s="95">
        <v>0.1</v>
      </c>
      <c r="AB86" s="95">
        <v>0.05</v>
      </c>
      <c r="AC86" s="96">
        <v>0.02</v>
      </c>
      <c r="AD86" s="97">
        <f>SUMPRODUCT($V$68:$AC$68,V86:AC86)</f>
        <v>33.805</v>
      </c>
      <c r="AE86" s="98">
        <f>(SUMPRODUCT($V$68:$AC$68,V86:AC86))*$AE$68*U86</f>
        <v>17544.663183654109</v>
      </c>
      <c r="AF86" s="98">
        <f>AE86/$AF$68</f>
        <v>292.41105306090179</v>
      </c>
      <c r="AG86" s="99">
        <f>AF86*(1+$AG$68)</f>
        <v>350.89326367308212</v>
      </c>
      <c r="AJ86" s="103" t="s">
        <v>44</v>
      </c>
      <c r="AL86" s="93">
        <v>3249.32028591264</v>
      </c>
      <c r="AM86" s="94">
        <v>0.05</v>
      </c>
      <c r="AN86" s="94">
        <v>0.13</v>
      </c>
      <c r="AO86" s="95">
        <v>0.2</v>
      </c>
      <c r="AP86" s="95">
        <v>0.25</v>
      </c>
      <c r="AQ86" s="95">
        <v>0.2</v>
      </c>
      <c r="AR86" s="95">
        <v>0.1</v>
      </c>
      <c r="AS86" s="95">
        <v>0.05</v>
      </c>
      <c r="AT86" s="96">
        <v>0.02</v>
      </c>
      <c r="AU86" s="97">
        <f>SUMPRODUCT($AM$68:$AT$68,AM86:AT86)</f>
        <v>33.805</v>
      </c>
      <c r="AV86" s="98">
        <f>(SUMPRODUCT($AM$68:$AT$68,AM86:AT86))*$AV$68*AL86</f>
        <v>21968.654453055358</v>
      </c>
      <c r="AW86" s="98">
        <f>AV86/$AW$68</f>
        <v>366.14424088425596</v>
      </c>
      <c r="AX86" s="99">
        <f>AW86*(1+$AX$68)</f>
        <v>439.37308906110712</v>
      </c>
    </row>
    <row r="87" spans="2:50" ht="15.75" customHeight="1" x14ac:dyDescent="0.25">
      <c r="B87" s="104" t="s">
        <v>182</v>
      </c>
      <c r="D87" s="100">
        <f>SUM(D70:D86)</f>
        <v>91481.639693608828</v>
      </c>
      <c r="M87" s="8"/>
      <c r="N87" s="100">
        <f>SUM(N70:N86)</f>
        <v>1433024.3382561116</v>
      </c>
      <c r="O87" s="101">
        <f>N87/$O$68</f>
        <v>23883.738970935192</v>
      </c>
      <c r="P87" s="101">
        <f>O87*(1+$P$68)</f>
        <v>28660.48676512223</v>
      </c>
      <c r="S87" s="104" t="s">
        <v>182</v>
      </c>
      <c r="U87" s="100">
        <f>SUM(U70:U86)</f>
        <v>109814.58466052865</v>
      </c>
      <c r="AD87" s="8"/>
      <c r="AE87" s="100">
        <f>SUM(AE70:AE86)</f>
        <v>1576059.3688441094</v>
      </c>
      <c r="AF87" s="101">
        <f>AE87/$AF$68</f>
        <v>26267.656147401824</v>
      </c>
      <c r="AG87" s="101">
        <f>AF87*(1+$AG$68)</f>
        <v>31521.187376882186</v>
      </c>
      <c r="AJ87" s="104" t="s">
        <v>182</v>
      </c>
      <c r="AL87" s="100">
        <f>SUM(AL70:AL86)</f>
        <v>185490.36540123398</v>
      </c>
      <c r="AU87" s="8"/>
      <c r="AV87" s="100">
        <f>SUM(AV70:AV86)</f>
        <v>2116004.2785555148</v>
      </c>
      <c r="AW87" s="101">
        <f>AV87/$AW$68</f>
        <v>35266.737975925244</v>
      </c>
      <c r="AX87" s="101">
        <f>AW87*(1+$AX$68)</f>
        <v>42320.085571110292</v>
      </c>
    </row>
    <row r="88" spans="2:50" ht="15" customHeight="1" x14ac:dyDescent="0.25">
      <c r="M88" s="8"/>
      <c r="N88" s="8">
        <f>N87/D87</f>
        <v>15.664611424277158</v>
      </c>
      <c r="O88" s="8">
        <f>N88/$O$68</f>
        <v>0.26107685707128597</v>
      </c>
      <c r="P88" s="8">
        <f>O88*(1+$P$68)</f>
        <v>0.31329222848554317</v>
      </c>
      <c r="AD88" s="8"/>
      <c r="AE88" s="8">
        <f>AE87/U87</f>
        <v>14.35200409596051</v>
      </c>
      <c r="AF88" s="8">
        <f>AE88/$AF$68</f>
        <v>0.23920006826600851</v>
      </c>
      <c r="AG88" s="8">
        <f>AF88*(1+$AG$68)</f>
        <v>0.28704008191921021</v>
      </c>
      <c r="AU88" s="8"/>
      <c r="AV88" s="8">
        <f>AV87/AL87</f>
        <v>11.407623646534894</v>
      </c>
      <c r="AW88" s="8">
        <f>AV88/$AW$68</f>
        <v>0.19012706077558156</v>
      </c>
      <c r="AX88" s="8">
        <f>AW88*(1+$AX$68)</f>
        <v>0.22815247293069785</v>
      </c>
    </row>
    <row r="92" spans="2:50" ht="15" customHeight="1" x14ac:dyDescent="0.25">
      <c r="C92">
        <v>2023</v>
      </c>
      <c r="T92">
        <v>2025</v>
      </c>
      <c r="AK92">
        <v>2030</v>
      </c>
    </row>
    <row r="93" spans="2:50" ht="20.100000000000001" customHeight="1" x14ac:dyDescent="0.25">
      <c r="C93" s="102" t="s">
        <v>13</v>
      </c>
      <c r="T93" s="102" t="s">
        <v>13</v>
      </c>
      <c r="AK93" s="102" t="s">
        <v>13</v>
      </c>
    </row>
    <row r="94" spans="2:50" ht="15" customHeight="1" thickBot="1" x14ac:dyDescent="0.3"/>
    <row r="95" spans="2:50" ht="55.35" customHeight="1" thickBot="1" x14ac:dyDescent="0.3">
      <c r="B95" s="138" t="s">
        <v>5</v>
      </c>
      <c r="C95" s="8"/>
      <c r="D95" s="140" t="s">
        <v>46</v>
      </c>
      <c r="E95" s="142" t="s">
        <v>25</v>
      </c>
      <c r="F95" s="143"/>
      <c r="G95" s="143"/>
      <c r="H95" s="143"/>
      <c r="I95" s="143"/>
      <c r="J95" s="143"/>
      <c r="K95" s="143"/>
      <c r="L95" s="144"/>
      <c r="M95" s="145" t="s">
        <v>6</v>
      </c>
      <c r="N95" s="9" t="s">
        <v>7</v>
      </c>
      <c r="O95" s="9" t="s">
        <v>8</v>
      </c>
      <c r="P95" s="9" t="s">
        <v>9</v>
      </c>
      <c r="S95" s="138" t="s">
        <v>5</v>
      </c>
      <c r="T95" s="8"/>
      <c r="U95" s="140" t="s">
        <v>46</v>
      </c>
      <c r="V95" s="142" t="s">
        <v>25</v>
      </c>
      <c r="W95" s="143"/>
      <c r="X95" s="143"/>
      <c r="Y95" s="143"/>
      <c r="Z95" s="143"/>
      <c r="AA95" s="143"/>
      <c r="AB95" s="143"/>
      <c r="AC95" s="144"/>
      <c r="AD95" s="145" t="s">
        <v>6</v>
      </c>
      <c r="AE95" s="9" t="s">
        <v>7</v>
      </c>
      <c r="AF95" s="9" t="s">
        <v>8</v>
      </c>
      <c r="AG95" s="9" t="s">
        <v>9</v>
      </c>
      <c r="AJ95" s="138" t="s">
        <v>5</v>
      </c>
      <c r="AK95" s="8"/>
      <c r="AL95" s="140" t="s">
        <v>46</v>
      </c>
      <c r="AM95" s="142" t="s">
        <v>25</v>
      </c>
      <c r="AN95" s="143"/>
      <c r="AO95" s="143"/>
      <c r="AP95" s="143"/>
      <c r="AQ95" s="143"/>
      <c r="AR95" s="143"/>
      <c r="AS95" s="143"/>
      <c r="AT95" s="144"/>
      <c r="AU95" s="145" t="s">
        <v>6</v>
      </c>
      <c r="AV95" s="9" t="s">
        <v>7</v>
      </c>
      <c r="AW95" s="9" t="s">
        <v>8</v>
      </c>
      <c r="AX95" s="9" t="s">
        <v>9</v>
      </c>
    </row>
    <row r="96" spans="2:50" ht="16.5" customHeight="1" thickBot="1" x14ac:dyDescent="0.3">
      <c r="B96" s="139"/>
      <c r="C96" s="8"/>
      <c r="D96" s="141"/>
      <c r="E96" s="10">
        <v>0.5</v>
      </c>
      <c r="F96" s="10">
        <v>1</v>
      </c>
      <c r="G96" s="10">
        <v>2</v>
      </c>
      <c r="H96" s="10">
        <v>5</v>
      </c>
      <c r="I96" s="10">
        <v>10</v>
      </c>
      <c r="J96" s="10">
        <v>50</v>
      </c>
      <c r="K96" s="10">
        <v>100</v>
      </c>
      <c r="L96" s="10">
        <v>1000</v>
      </c>
      <c r="M96" s="146"/>
      <c r="N96" s="59">
        <f>'Network Parameters'!$C$8</f>
        <v>0.2</v>
      </c>
      <c r="O96" s="60">
        <f>'Network Parameters'!$C$9</f>
        <v>60</v>
      </c>
      <c r="P96" s="61">
        <f>'Network Parameters'!$C$10</f>
        <v>0.2</v>
      </c>
      <c r="S96" s="139"/>
      <c r="T96" s="8"/>
      <c r="U96" s="141"/>
      <c r="V96" s="10">
        <v>0.5</v>
      </c>
      <c r="W96" s="10">
        <v>1</v>
      </c>
      <c r="X96" s="10">
        <v>2</v>
      </c>
      <c r="Y96" s="10">
        <v>5</v>
      </c>
      <c r="Z96" s="10">
        <v>10</v>
      </c>
      <c r="AA96" s="10">
        <v>50</v>
      </c>
      <c r="AB96" s="10">
        <v>100</v>
      </c>
      <c r="AC96" s="10">
        <v>1000</v>
      </c>
      <c r="AD96" s="146"/>
      <c r="AE96" s="59">
        <f>'Network Parameters'!$C$8</f>
        <v>0.2</v>
      </c>
      <c r="AF96" s="60">
        <f>'Network Parameters'!$C$9</f>
        <v>60</v>
      </c>
      <c r="AG96" s="61">
        <f>'Network Parameters'!$C$10</f>
        <v>0.2</v>
      </c>
      <c r="AJ96" s="139"/>
      <c r="AK96" s="8"/>
      <c r="AL96" s="141"/>
      <c r="AM96" s="10">
        <v>0.5</v>
      </c>
      <c r="AN96" s="10">
        <v>1</v>
      </c>
      <c r="AO96" s="10">
        <v>2</v>
      </c>
      <c r="AP96" s="10">
        <v>5</v>
      </c>
      <c r="AQ96" s="10">
        <v>10</v>
      </c>
      <c r="AR96" s="10">
        <v>50</v>
      </c>
      <c r="AS96" s="10">
        <v>100</v>
      </c>
      <c r="AT96" s="10">
        <v>1000</v>
      </c>
      <c r="AU96" s="146"/>
      <c r="AV96" s="59">
        <f>'Network Parameters'!$C$8</f>
        <v>0.2</v>
      </c>
      <c r="AW96" s="60">
        <f>'Network Parameters'!$C$9</f>
        <v>60</v>
      </c>
      <c r="AX96" s="61">
        <f>'Network Parameters'!$C$10</f>
        <v>0.2</v>
      </c>
    </row>
    <row r="97" spans="2:50" ht="15" customHeight="1" thickBo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</row>
    <row r="98" spans="2:50" ht="41.25" customHeight="1" x14ac:dyDescent="0.25">
      <c r="B98" s="13" t="s">
        <v>32</v>
      </c>
      <c r="D98" s="77">
        <v>34088.495759197322</v>
      </c>
      <c r="E98" s="78">
        <v>0.3</v>
      </c>
      <c r="F98" s="78">
        <v>0.3</v>
      </c>
      <c r="G98" s="78">
        <v>0.25</v>
      </c>
      <c r="H98" s="79">
        <v>0.05</v>
      </c>
      <c r="I98" s="78">
        <v>0.05</v>
      </c>
      <c r="J98" s="78">
        <v>0.02</v>
      </c>
      <c r="K98" s="78">
        <v>0.02</v>
      </c>
      <c r="L98" s="80">
        <v>0.01</v>
      </c>
      <c r="M98" s="81">
        <f>SUMPRODUCT($E$96:$L$96,E98:L98)</f>
        <v>14.7</v>
      </c>
      <c r="N98" s="82">
        <f>(SUMPRODUCT($E$96:$L$96,E98:L98))*$N$96*D98</f>
        <v>100220.17753204012</v>
      </c>
      <c r="O98" s="82">
        <f>N98/$O$96</f>
        <v>1670.3362922006686</v>
      </c>
      <c r="P98" s="83">
        <f>O98*(1+$P$96)</f>
        <v>2004.4035506408022</v>
      </c>
      <c r="S98" s="13" t="s">
        <v>32</v>
      </c>
      <c r="U98" s="77">
        <v>45869.47989357591</v>
      </c>
      <c r="V98" s="78">
        <v>0.3</v>
      </c>
      <c r="W98" s="78">
        <v>0.3</v>
      </c>
      <c r="X98" s="78">
        <v>0.25</v>
      </c>
      <c r="Y98" s="79">
        <v>0.05</v>
      </c>
      <c r="Z98" s="78">
        <v>0.05</v>
      </c>
      <c r="AA98" s="78">
        <v>0.02</v>
      </c>
      <c r="AB98" s="78">
        <v>0.02</v>
      </c>
      <c r="AC98" s="80">
        <v>0.01</v>
      </c>
      <c r="AD98" s="81">
        <f>SUMPRODUCT($V$96:$AC$96,V98:AC98)</f>
        <v>14.7</v>
      </c>
      <c r="AE98" s="82">
        <f>(SUMPRODUCT($V$96:$AC$96,V98:AC98))*$AE$96*U98</f>
        <v>134856.27088711318</v>
      </c>
      <c r="AF98" s="82">
        <f>AE98/$AF$96</f>
        <v>2247.6045147852196</v>
      </c>
      <c r="AG98" s="83">
        <f>AF98*(1+$AG$96)</f>
        <v>2697.1254177422634</v>
      </c>
      <c r="AJ98" s="13" t="s">
        <v>32</v>
      </c>
      <c r="AL98" s="77">
        <v>96341.579432923085</v>
      </c>
      <c r="AM98" s="78">
        <v>0.3</v>
      </c>
      <c r="AN98" s="78">
        <v>0.3</v>
      </c>
      <c r="AO98" s="78">
        <v>0.25</v>
      </c>
      <c r="AP98" s="79">
        <v>0.05</v>
      </c>
      <c r="AQ98" s="78">
        <v>0.05</v>
      </c>
      <c r="AR98" s="78">
        <v>0.02</v>
      </c>
      <c r="AS98" s="78">
        <v>0.02</v>
      </c>
      <c r="AT98" s="80">
        <v>0.01</v>
      </c>
      <c r="AU98" s="81">
        <f>SUMPRODUCT($AM$96:$AT$96,AM98:AT98)</f>
        <v>14.7</v>
      </c>
      <c r="AV98" s="82">
        <f>(SUMPRODUCT($AM$96:$AT$96,AM98:AT98))*$AV$96*AL98</f>
        <v>283244.24353279389</v>
      </c>
      <c r="AW98" s="82">
        <f>AV98/$AW$96</f>
        <v>4720.737392213231</v>
      </c>
      <c r="AX98" s="83">
        <f>AW98*(1+$AX$96)</f>
        <v>5664.8848706558774</v>
      </c>
    </row>
    <row r="99" spans="2:50" ht="15.75" customHeight="1" x14ac:dyDescent="0.25">
      <c r="B99" s="13" t="s">
        <v>33</v>
      </c>
      <c r="D99" s="84">
        <v>15907.964687625416</v>
      </c>
      <c r="E99" s="85">
        <v>0.3</v>
      </c>
      <c r="F99" s="85">
        <v>0.3</v>
      </c>
      <c r="G99" s="86">
        <v>0.2</v>
      </c>
      <c r="H99" s="87">
        <v>0.05</v>
      </c>
      <c r="I99" s="87">
        <v>0.1</v>
      </c>
      <c r="J99" s="87">
        <v>0.02</v>
      </c>
      <c r="K99" s="87">
        <v>0.02</v>
      </c>
      <c r="L99" s="88">
        <v>0.01</v>
      </c>
      <c r="M99" s="89">
        <f>SUMPRODUCT($E$96:$L$96,E99:L99)</f>
        <v>15.1</v>
      </c>
      <c r="N99" s="90">
        <f>(SUMPRODUCT($E$96:$L$96,E99:L99))*$N$96*D99</f>
        <v>48042.053356628756</v>
      </c>
      <c r="O99" s="90">
        <f>N99/$O$96</f>
        <v>800.70088927714596</v>
      </c>
      <c r="P99" s="91">
        <f>O99*(1+$P$96)</f>
        <v>960.84106713257506</v>
      </c>
      <c r="S99" s="13" t="s">
        <v>33</v>
      </c>
      <c r="U99" s="84">
        <v>21405.757283668758</v>
      </c>
      <c r="V99" s="85">
        <v>0.3</v>
      </c>
      <c r="W99" s="85">
        <v>0.3</v>
      </c>
      <c r="X99" s="86">
        <v>0.2</v>
      </c>
      <c r="Y99" s="87">
        <v>0.05</v>
      </c>
      <c r="Z99" s="87">
        <v>0.1</v>
      </c>
      <c r="AA99" s="87">
        <v>0.02</v>
      </c>
      <c r="AB99" s="87">
        <v>0.02</v>
      </c>
      <c r="AC99" s="88">
        <v>0.01</v>
      </c>
      <c r="AD99" s="89">
        <f>SUMPRODUCT($V$96:$AC$96,V99:AC99)</f>
        <v>15.1</v>
      </c>
      <c r="AE99" s="90">
        <f>(SUMPRODUCT($V$96:$AC$96,V99:AC99))*$AE$96*U99</f>
        <v>64645.386996679648</v>
      </c>
      <c r="AF99" s="90">
        <f>AE99/$AF$96</f>
        <v>1077.4231166113275</v>
      </c>
      <c r="AG99" s="91">
        <f>AF99*(1+$AG$96)</f>
        <v>1292.9077399335929</v>
      </c>
      <c r="AJ99" s="13" t="s">
        <v>33</v>
      </c>
      <c r="AL99" s="84">
        <v>44959.403735364103</v>
      </c>
      <c r="AM99" s="85">
        <v>0.3</v>
      </c>
      <c r="AN99" s="85">
        <v>0.3</v>
      </c>
      <c r="AO99" s="86">
        <v>0.2</v>
      </c>
      <c r="AP99" s="87">
        <v>0.05</v>
      </c>
      <c r="AQ99" s="87">
        <v>0.1</v>
      </c>
      <c r="AR99" s="87">
        <v>0.02</v>
      </c>
      <c r="AS99" s="87">
        <v>0.02</v>
      </c>
      <c r="AT99" s="88">
        <v>0.01</v>
      </c>
      <c r="AU99" s="89">
        <f>SUMPRODUCT($AM$96:$AT$96,AM99:AT99)</f>
        <v>15.1</v>
      </c>
      <c r="AV99" s="90">
        <f>(SUMPRODUCT($AM$96:$AT$96,AM99:AT99))*$AV$96*AL99</f>
        <v>135777.39928079958</v>
      </c>
      <c r="AW99" s="90">
        <f>AV99/$AW$96</f>
        <v>2262.9566546799929</v>
      </c>
      <c r="AX99" s="91">
        <f>AW99*(1+$AX$96)</f>
        <v>2715.5479856159914</v>
      </c>
    </row>
    <row r="100" spans="2:50" ht="15.75" customHeight="1" x14ac:dyDescent="0.25">
      <c r="B100" s="13" t="s">
        <v>1</v>
      </c>
      <c r="D100" s="84">
        <v>127263.71750100332</v>
      </c>
      <c r="E100" s="87">
        <v>0.05</v>
      </c>
      <c r="F100" s="92">
        <v>0.15</v>
      </c>
      <c r="G100" s="87">
        <v>0.15</v>
      </c>
      <c r="H100" s="87">
        <v>0.25</v>
      </c>
      <c r="I100" s="87">
        <v>0.22</v>
      </c>
      <c r="J100" s="87">
        <v>0.1</v>
      </c>
      <c r="K100" s="87">
        <v>0.05</v>
      </c>
      <c r="L100" s="88">
        <v>0.03</v>
      </c>
      <c r="M100" s="89">
        <f>SUMPRODUCT($E$96:$L$96,E100:L100)</f>
        <v>43.924999999999997</v>
      </c>
      <c r="N100" s="90">
        <f>(SUMPRODUCT($E$96:$L$96,E100:L100))*$N$96*D100</f>
        <v>1118011.7582463142</v>
      </c>
      <c r="O100" s="90">
        <f>N100/$O$96</f>
        <v>18633.529304105239</v>
      </c>
      <c r="P100" s="91">
        <f>O100*(1+$P$96)</f>
        <v>22360.235164926286</v>
      </c>
      <c r="S100" s="13" t="s">
        <v>1</v>
      </c>
      <c r="U100" s="84">
        <v>171246.05826935006</v>
      </c>
      <c r="V100" s="87">
        <v>0.05</v>
      </c>
      <c r="W100" s="92">
        <v>0.15</v>
      </c>
      <c r="X100" s="87">
        <v>0.15</v>
      </c>
      <c r="Y100" s="87">
        <v>0.25</v>
      </c>
      <c r="Z100" s="87">
        <v>0.22</v>
      </c>
      <c r="AA100" s="87">
        <v>0.1</v>
      </c>
      <c r="AB100" s="87">
        <v>0.05</v>
      </c>
      <c r="AC100" s="88">
        <v>0.03</v>
      </c>
      <c r="AD100" s="89">
        <f>SUMPRODUCT($V$96:$AC$96,V100:AC100)</f>
        <v>43.924999999999997</v>
      </c>
      <c r="AE100" s="90">
        <f>(SUMPRODUCT($V$96:$AC$96,V100:AC100))*$AE$96*U100</f>
        <v>1504396.6218962404</v>
      </c>
      <c r="AF100" s="90">
        <f>AE100/$AF$96</f>
        <v>25073.277031604008</v>
      </c>
      <c r="AG100" s="91">
        <f>AF100*(1+$AG$96)</f>
        <v>30087.932437924806</v>
      </c>
      <c r="AJ100" s="13" t="s">
        <v>1</v>
      </c>
      <c r="AL100" s="84">
        <v>359675.22988291283</v>
      </c>
      <c r="AM100" s="87">
        <v>0.05</v>
      </c>
      <c r="AN100" s="92">
        <v>0.15</v>
      </c>
      <c r="AO100" s="87">
        <v>0.15</v>
      </c>
      <c r="AP100" s="87">
        <v>0.25</v>
      </c>
      <c r="AQ100" s="87">
        <v>0.22</v>
      </c>
      <c r="AR100" s="87">
        <v>0.1</v>
      </c>
      <c r="AS100" s="87">
        <v>0.05</v>
      </c>
      <c r="AT100" s="88">
        <v>0.03</v>
      </c>
      <c r="AU100" s="89">
        <f>SUMPRODUCT($AM$96:$AT$96,AM100:AT100)</f>
        <v>43.924999999999997</v>
      </c>
      <c r="AV100" s="90">
        <f>(SUMPRODUCT($AM$96:$AT$96,AM100:AT100))*$AV$96*AL100</f>
        <v>3159746.8945213892</v>
      </c>
      <c r="AW100" s="90">
        <f>AV100/$AW$96</f>
        <v>52662.448242023151</v>
      </c>
      <c r="AX100" s="91">
        <f>AW100*(1+$AX$96)</f>
        <v>63194.937890427776</v>
      </c>
    </row>
    <row r="101" spans="2:50" ht="15.75" customHeight="1" x14ac:dyDescent="0.25">
      <c r="B101" s="13" t="s">
        <v>0</v>
      </c>
      <c r="D101" s="84">
        <v>65904.425134448145</v>
      </c>
      <c r="E101" s="87">
        <v>0.2</v>
      </c>
      <c r="F101" s="92">
        <v>0.25</v>
      </c>
      <c r="G101" s="87">
        <v>0.3</v>
      </c>
      <c r="H101" s="87">
        <v>0.15</v>
      </c>
      <c r="I101" s="87">
        <v>0.05</v>
      </c>
      <c r="J101" s="87">
        <v>0.02</v>
      </c>
      <c r="K101" s="87">
        <v>0.02</v>
      </c>
      <c r="L101" s="88">
        <v>0.01</v>
      </c>
      <c r="M101" s="89">
        <f>SUMPRODUCT($E$96:$L$96,E101:L101)</f>
        <v>15.2</v>
      </c>
      <c r="N101" s="90">
        <f>(SUMPRODUCT($E$96:$L$96,E101:L101))*$N$96*D101</f>
        <v>200349.45240872237</v>
      </c>
      <c r="O101" s="90">
        <f>N101/$O$96</f>
        <v>3339.1575401453729</v>
      </c>
      <c r="P101" s="91">
        <f>O101*(1+$P$96)</f>
        <v>4006.9890481744474</v>
      </c>
      <c r="S101" s="13" t="s">
        <v>0</v>
      </c>
      <c r="U101" s="84">
        <v>88680.994460913425</v>
      </c>
      <c r="V101" s="87">
        <v>0.2</v>
      </c>
      <c r="W101" s="92">
        <v>0.25</v>
      </c>
      <c r="X101" s="87">
        <v>0.3</v>
      </c>
      <c r="Y101" s="87">
        <v>0.15</v>
      </c>
      <c r="Z101" s="87">
        <v>0.05</v>
      </c>
      <c r="AA101" s="87">
        <v>0.02</v>
      </c>
      <c r="AB101" s="87">
        <v>0.02</v>
      </c>
      <c r="AC101" s="88">
        <v>0.01</v>
      </c>
      <c r="AD101" s="89">
        <f>SUMPRODUCT($V$96:$AC$96,V101:AC101)</f>
        <v>15.2</v>
      </c>
      <c r="AE101" s="90">
        <f>(SUMPRODUCT($V$96:$AC$96,V101:AC101))*$AE$96*U101</f>
        <v>269590.22316117684</v>
      </c>
      <c r="AF101" s="90">
        <f>AE101/$AF$96</f>
        <v>4493.1703860196139</v>
      </c>
      <c r="AG101" s="91">
        <f>AF101*(1+$AG$96)</f>
        <v>5391.8044632235369</v>
      </c>
      <c r="AJ101" s="13" t="s">
        <v>0</v>
      </c>
      <c r="AL101" s="84">
        <v>186260.38690365126</v>
      </c>
      <c r="AM101" s="87">
        <v>0.2</v>
      </c>
      <c r="AN101" s="92">
        <v>0.25</v>
      </c>
      <c r="AO101" s="87">
        <v>0.3</v>
      </c>
      <c r="AP101" s="87">
        <v>0.15</v>
      </c>
      <c r="AQ101" s="87">
        <v>0.05</v>
      </c>
      <c r="AR101" s="87">
        <v>0.02</v>
      </c>
      <c r="AS101" s="87">
        <v>0.02</v>
      </c>
      <c r="AT101" s="88">
        <v>0.01</v>
      </c>
      <c r="AU101" s="89">
        <f>SUMPRODUCT($AM$96:$AT$96,AM101:AT101)</f>
        <v>15.2</v>
      </c>
      <c r="AV101" s="90">
        <f>(SUMPRODUCT($AM$96:$AT$96,AM101:AT101))*$AV$96*AL101</f>
        <v>566231.5761870998</v>
      </c>
      <c r="AW101" s="90">
        <f>AV101/$AW$96</f>
        <v>9437.1929364516636</v>
      </c>
      <c r="AX101" s="91">
        <f>AW101*(1+$AX$96)</f>
        <v>11324.631523741997</v>
      </c>
    </row>
    <row r="102" spans="2:50" ht="15.75" customHeight="1" x14ac:dyDescent="0.25">
      <c r="B102" s="13" t="s">
        <v>34</v>
      </c>
      <c r="D102" s="84">
        <v>131808.85026889632</v>
      </c>
      <c r="E102" s="87">
        <v>0.05</v>
      </c>
      <c r="F102" s="92">
        <v>0.15</v>
      </c>
      <c r="G102" s="87">
        <v>0.2</v>
      </c>
      <c r="H102" s="87">
        <v>0.24</v>
      </c>
      <c r="I102" s="87">
        <v>0.15</v>
      </c>
      <c r="J102" s="87">
        <v>0.15</v>
      </c>
      <c r="K102" s="87">
        <v>0.05</v>
      </c>
      <c r="L102" s="88">
        <v>0.01</v>
      </c>
      <c r="M102" s="89">
        <f>SUMPRODUCT($E$96:$L$96,E102:L102)</f>
        <v>25.774999999999999</v>
      </c>
      <c r="N102" s="90">
        <f>(SUMPRODUCT($E$96:$L$96,E102:L102))*$N$96*D102</f>
        <v>679474.62313616055</v>
      </c>
      <c r="O102" s="90">
        <f>N102/$O$96</f>
        <v>11324.577052269342</v>
      </c>
      <c r="P102" s="91">
        <f>O102*(1+$P$96)</f>
        <v>13589.49246272321</v>
      </c>
      <c r="S102" s="13" t="s">
        <v>34</v>
      </c>
      <c r="U102" s="84">
        <v>177361.98892182688</v>
      </c>
      <c r="V102" s="87">
        <v>0.05</v>
      </c>
      <c r="W102" s="92">
        <v>0.15</v>
      </c>
      <c r="X102" s="87">
        <v>0.2</v>
      </c>
      <c r="Y102" s="87">
        <v>0.24</v>
      </c>
      <c r="Z102" s="87">
        <v>0.15</v>
      </c>
      <c r="AA102" s="87">
        <v>0.15</v>
      </c>
      <c r="AB102" s="87">
        <v>0.05</v>
      </c>
      <c r="AC102" s="88">
        <v>0.01</v>
      </c>
      <c r="AD102" s="89">
        <f>SUMPRODUCT($V$96:$AC$96,V102:AC102)</f>
        <v>25.774999999999999</v>
      </c>
      <c r="AE102" s="90">
        <f>(SUMPRODUCT($V$96:$AC$96,V102:AC102))*$AE$96*U102</f>
        <v>914301.05289201764</v>
      </c>
      <c r="AF102" s="90">
        <f>AE102/$AF$96</f>
        <v>15238.350881533628</v>
      </c>
      <c r="AG102" s="91">
        <f>AF102*(1+$AG$96)</f>
        <v>18286.021057840353</v>
      </c>
      <c r="AJ102" s="13" t="s">
        <v>34</v>
      </c>
      <c r="AL102" s="84">
        <v>372520.77380730264</v>
      </c>
      <c r="AM102" s="87">
        <v>0.05</v>
      </c>
      <c r="AN102" s="92">
        <v>0.15</v>
      </c>
      <c r="AO102" s="87">
        <v>0.2</v>
      </c>
      <c r="AP102" s="87">
        <v>0.24</v>
      </c>
      <c r="AQ102" s="87">
        <v>0.15</v>
      </c>
      <c r="AR102" s="87">
        <v>0.15</v>
      </c>
      <c r="AS102" s="87">
        <v>0.05</v>
      </c>
      <c r="AT102" s="88">
        <v>0.01</v>
      </c>
      <c r="AU102" s="89">
        <f>SUMPRODUCT($AM$96:$AT$96,AM102:AT102)</f>
        <v>25.774999999999999</v>
      </c>
      <c r="AV102" s="90">
        <f>(SUMPRODUCT($AM$96:$AT$96,AM102:AT102))*$AV$96*AL102</f>
        <v>1920344.5889766451</v>
      </c>
      <c r="AW102" s="90">
        <f>AV102/$AW$96</f>
        <v>32005.743149610753</v>
      </c>
      <c r="AX102" s="91">
        <f>AW102*(1+$AX$96)</f>
        <v>38406.891779532903</v>
      </c>
    </row>
    <row r="103" spans="2:50" ht="15.75" customHeight="1" x14ac:dyDescent="0.25">
      <c r="B103" s="13" t="s">
        <v>35</v>
      </c>
      <c r="D103" s="84">
        <v>43178.761294983276</v>
      </c>
      <c r="E103" s="87">
        <v>0.12</v>
      </c>
      <c r="F103" s="92">
        <v>0.1</v>
      </c>
      <c r="G103" s="87">
        <v>0.1</v>
      </c>
      <c r="H103" s="87">
        <v>0.2</v>
      </c>
      <c r="I103" s="87">
        <v>0.3</v>
      </c>
      <c r="J103" s="87">
        <v>0.1</v>
      </c>
      <c r="K103" s="87">
        <v>0.05</v>
      </c>
      <c r="L103" s="88">
        <v>0.03</v>
      </c>
      <c r="M103" s="89">
        <f>SUMPRODUCT($E$96:$L$96,E103:L103)</f>
        <v>44.36</v>
      </c>
      <c r="N103" s="90">
        <f>(SUMPRODUCT($E$96:$L$96,E103:L103))*$N$96*D103</f>
        <v>383081.97020909161</v>
      </c>
      <c r="O103" s="90">
        <f>N103/$O$96</f>
        <v>6384.6995034848605</v>
      </c>
      <c r="P103" s="91">
        <f>O103*(1+$P$96)</f>
        <v>7661.6394041818321</v>
      </c>
      <c r="S103" s="13" t="s">
        <v>35</v>
      </c>
      <c r="U103" s="84">
        <v>58101.341198529495</v>
      </c>
      <c r="V103" s="87">
        <v>0.12</v>
      </c>
      <c r="W103" s="92">
        <v>0.1</v>
      </c>
      <c r="X103" s="87">
        <v>0.1</v>
      </c>
      <c r="Y103" s="87">
        <v>0.2</v>
      </c>
      <c r="Z103" s="87">
        <v>0.3</v>
      </c>
      <c r="AA103" s="87">
        <v>0.1</v>
      </c>
      <c r="AB103" s="87">
        <v>0.05</v>
      </c>
      <c r="AC103" s="88">
        <v>0.03</v>
      </c>
      <c r="AD103" s="89">
        <f>SUMPRODUCT($V$96:$AC$96,V103:AC103)</f>
        <v>44.36</v>
      </c>
      <c r="AE103" s="90">
        <f>(SUMPRODUCT($V$96:$AC$96,V103:AC103))*$AE$96*U103</f>
        <v>515475.0991133537</v>
      </c>
      <c r="AF103" s="90">
        <f>AE103/$AF$96</f>
        <v>8591.251651889228</v>
      </c>
      <c r="AG103" s="91">
        <f>AF103*(1+$AG$96)</f>
        <v>10309.501982267073</v>
      </c>
      <c r="AJ103" s="13" t="s">
        <v>35</v>
      </c>
      <c r="AL103" s="84">
        <v>122032.66728170258</v>
      </c>
      <c r="AM103" s="87">
        <v>0.12</v>
      </c>
      <c r="AN103" s="92">
        <v>0.1</v>
      </c>
      <c r="AO103" s="87">
        <v>0.1</v>
      </c>
      <c r="AP103" s="87">
        <v>0.2</v>
      </c>
      <c r="AQ103" s="87">
        <v>0.3</v>
      </c>
      <c r="AR103" s="87">
        <v>0.1</v>
      </c>
      <c r="AS103" s="87">
        <v>0.05</v>
      </c>
      <c r="AT103" s="88">
        <v>0.03</v>
      </c>
      <c r="AU103" s="89">
        <f>SUMPRODUCT($AM$96:$AT$96,AM103:AT103)</f>
        <v>44.36</v>
      </c>
      <c r="AV103" s="90">
        <f>(SUMPRODUCT($AM$96:$AT$96,AM103:AT103))*$AV$96*AL103</f>
        <v>1082673.8241232652</v>
      </c>
      <c r="AW103" s="90">
        <f>AV103/$AW$96</f>
        <v>18044.563735387754</v>
      </c>
      <c r="AX103" s="91">
        <f>AW103*(1+$AX$96)</f>
        <v>21653.476482465303</v>
      </c>
    </row>
    <row r="104" spans="2:50" ht="31.5" customHeight="1" x14ac:dyDescent="0.25">
      <c r="B104" s="13" t="s">
        <v>36</v>
      </c>
      <c r="D104" s="84">
        <v>51132.74363879599</v>
      </c>
      <c r="E104" s="87">
        <v>0.05</v>
      </c>
      <c r="F104" s="92">
        <v>0.2</v>
      </c>
      <c r="G104" s="87">
        <v>0.3</v>
      </c>
      <c r="H104" s="87">
        <v>0.15</v>
      </c>
      <c r="I104" s="87">
        <v>0.14000000000000001</v>
      </c>
      <c r="J104" s="87">
        <v>0.1</v>
      </c>
      <c r="K104" s="87">
        <v>0.05</v>
      </c>
      <c r="L104" s="88">
        <v>0.01</v>
      </c>
      <c r="M104" s="89">
        <f>SUMPRODUCT($E$96:$L$96,E104:L104)</f>
        <v>22.975000000000001</v>
      </c>
      <c r="N104" s="90">
        <f>(SUMPRODUCT($E$96:$L$96,E104:L104))*$N$96*D104</f>
        <v>234954.95702026761</v>
      </c>
      <c r="O104" s="90">
        <f>N104/$O$96</f>
        <v>3915.9159503377937</v>
      </c>
      <c r="P104" s="91">
        <f>O104*(1+$P$96)</f>
        <v>4699.099140405352</v>
      </c>
      <c r="S104" s="13" t="s">
        <v>36</v>
      </c>
      <c r="U104" s="84">
        <v>68804.219840363876</v>
      </c>
      <c r="V104" s="87">
        <v>0.05</v>
      </c>
      <c r="W104" s="92">
        <v>0.2</v>
      </c>
      <c r="X104" s="87">
        <v>0.3</v>
      </c>
      <c r="Y104" s="87">
        <v>0.15</v>
      </c>
      <c r="Z104" s="87">
        <v>0.14000000000000001</v>
      </c>
      <c r="AA104" s="87">
        <v>0.1</v>
      </c>
      <c r="AB104" s="87">
        <v>0.05</v>
      </c>
      <c r="AC104" s="88">
        <v>0.01</v>
      </c>
      <c r="AD104" s="89">
        <f>SUMPRODUCT($V$96:$AC$96,V104:AC104)</f>
        <v>22.975000000000001</v>
      </c>
      <c r="AE104" s="90">
        <f>(SUMPRODUCT($V$96:$AC$96,V104:AC104))*$AE$96*U104</f>
        <v>316155.39016647206</v>
      </c>
      <c r="AF104" s="90">
        <f>AE104/$AF$96</f>
        <v>5269.2565027745341</v>
      </c>
      <c r="AG104" s="91">
        <f>AF104*(1+$AG$96)</f>
        <v>6323.1078033294407</v>
      </c>
      <c r="AJ104" s="13" t="s">
        <v>36</v>
      </c>
      <c r="AL104" s="84">
        <v>144512.36914938464</v>
      </c>
      <c r="AM104" s="87">
        <v>0.05</v>
      </c>
      <c r="AN104" s="92">
        <v>0.2</v>
      </c>
      <c r="AO104" s="87">
        <v>0.3</v>
      </c>
      <c r="AP104" s="87">
        <v>0.15</v>
      </c>
      <c r="AQ104" s="87">
        <v>0.14000000000000001</v>
      </c>
      <c r="AR104" s="87">
        <v>0.1</v>
      </c>
      <c r="AS104" s="87">
        <v>0.05</v>
      </c>
      <c r="AT104" s="88">
        <v>0.01</v>
      </c>
      <c r="AU104" s="89">
        <f>SUMPRODUCT($AM$96:$AT$96,AM104:AT104)</f>
        <v>22.975000000000001</v>
      </c>
      <c r="AV104" s="90">
        <f>(SUMPRODUCT($AM$96:$AT$96,AM104:AT104))*$AV$96*AL104</f>
        <v>664034.33624142257</v>
      </c>
      <c r="AW104" s="90">
        <f>AV104/$AW$96</f>
        <v>11067.238937357042</v>
      </c>
      <c r="AX104" s="91">
        <f>AW104*(1+$AX$96)</f>
        <v>13280.686724828451</v>
      </c>
    </row>
    <row r="105" spans="2:50" ht="15.75" customHeight="1" x14ac:dyDescent="0.25">
      <c r="B105" s="13" t="s">
        <v>37</v>
      </c>
      <c r="D105" s="84">
        <v>64768.141942474911</v>
      </c>
      <c r="E105" s="87">
        <v>0.05</v>
      </c>
      <c r="F105" s="92">
        <v>0.1</v>
      </c>
      <c r="G105" s="87">
        <v>0.1</v>
      </c>
      <c r="H105" s="87">
        <v>0.15</v>
      </c>
      <c r="I105" s="87">
        <v>0.25</v>
      </c>
      <c r="J105" s="87">
        <v>0.16</v>
      </c>
      <c r="K105" s="87">
        <v>0.15</v>
      </c>
      <c r="L105" s="88">
        <v>0.04</v>
      </c>
      <c r="M105" s="89">
        <f>SUMPRODUCT($E$96:$L$96,E105:L105)</f>
        <v>66.575000000000003</v>
      </c>
      <c r="N105" s="90">
        <f>(SUMPRODUCT($E$96:$L$96,E105:L105))*$N$96*D105</f>
        <v>862387.80996405357</v>
      </c>
      <c r="O105" s="90">
        <f>N105/$O$96</f>
        <v>14373.13016606756</v>
      </c>
      <c r="P105" s="91">
        <f>O105*(1+$P$96)</f>
        <v>17247.75619928107</v>
      </c>
      <c r="S105" s="13" t="s">
        <v>37</v>
      </c>
      <c r="U105" s="84">
        <v>87152.011797794228</v>
      </c>
      <c r="V105" s="87">
        <v>0.05</v>
      </c>
      <c r="W105" s="92">
        <v>0.1</v>
      </c>
      <c r="X105" s="87">
        <v>0.1</v>
      </c>
      <c r="Y105" s="87">
        <v>0.15</v>
      </c>
      <c r="Z105" s="87">
        <v>0.25</v>
      </c>
      <c r="AA105" s="87">
        <v>0.16</v>
      </c>
      <c r="AB105" s="87">
        <v>0.15</v>
      </c>
      <c r="AC105" s="88">
        <v>0.04</v>
      </c>
      <c r="AD105" s="89">
        <f>SUMPRODUCT($V$96:$AC$96,V105:AC105)</f>
        <v>66.575000000000003</v>
      </c>
      <c r="AE105" s="90">
        <f>(SUMPRODUCT($V$96:$AC$96,V105:AC105))*$AE$96*U105</f>
        <v>1160429.0370876302</v>
      </c>
      <c r="AF105" s="90">
        <f>AE105/$AF$96</f>
        <v>19340.483951460505</v>
      </c>
      <c r="AG105" s="91">
        <f>AF105*(1+$AG$96)</f>
        <v>23208.580741752605</v>
      </c>
      <c r="AJ105" s="13" t="s">
        <v>37</v>
      </c>
      <c r="AL105" s="84">
        <v>183049.00092255385</v>
      </c>
      <c r="AM105" s="87">
        <v>0.05</v>
      </c>
      <c r="AN105" s="92">
        <v>0.1</v>
      </c>
      <c r="AO105" s="87">
        <v>0.1</v>
      </c>
      <c r="AP105" s="87">
        <v>0.15</v>
      </c>
      <c r="AQ105" s="87">
        <v>0.25</v>
      </c>
      <c r="AR105" s="87">
        <v>0.16</v>
      </c>
      <c r="AS105" s="87">
        <v>0.15</v>
      </c>
      <c r="AT105" s="88">
        <v>0.04</v>
      </c>
      <c r="AU105" s="89">
        <f>SUMPRODUCT($AM$96:$AT$96,AM105:AT105)</f>
        <v>66.575000000000003</v>
      </c>
      <c r="AV105" s="90">
        <f>(SUMPRODUCT($AM$96:$AT$96,AM105:AT105))*$AV$96*AL105</f>
        <v>2437297.4472838049</v>
      </c>
      <c r="AW105" s="90">
        <f>AV105/$AW$96</f>
        <v>40621.624121396751</v>
      </c>
      <c r="AX105" s="91">
        <f>AW105*(1+$AX$96)</f>
        <v>48745.9489456761</v>
      </c>
    </row>
    <row r="106" spans="2:50" ht="47.25" customHeight="1" x14ac:dyDescent="0.25">
      <c r="B106" s="13" t="s">
        <v>38</v>
      </c>
      <c r="D106" s="84">
        <v>35224.778951170563</v>
      </c>
      <c r="E106" s="87">
        <v>0.3</v>
      </c>
      <c r="F106" s="92">
        <v>0.25</v>
      </c>
      <c r="G106" s="87">
        <v>0.25</v>
      </c>
      <c r="H106" s="87">
        <v>0.1</v>
      </c>
      <c r="I106" s="87">
        <v>0.05</v>
      </c>
      <c r="J106" s="87">
        <v>0.02</v>
      </c>
      <c r="K106" s="87">
        <v>0.02</v>
      </c>
      <c r="L106" s="88">
        <v>0.01</v>
      </c>
      <c r="M106" s="89">
        <f>SUMPRODUCT($E$96:$L$96,E106:L106)</f>
        <v>14.9</v>
      </c>
      <c r="N106" s="90">
        <f>(SUMPRODUCT($E$96:$L$96,E106:L106))*$N$96*D106</f>
        <v>104969.8412744883</v>
      </c>
      <c r="O106" s="90">
        <f>N106/$O$96</f>
        <v>1749.4973545748048</v>
      </c>
      <c r="P106" s="91">
        <f>O106*(1+$P$96)</f>
        <v>2099.3968254897659</v>
      </c>
      <c r="S106" s="13" t="s">
        <v>38</v>
      </c>
      <c r="U106" s="84">
        <v>47398.462556695107</v>
      </c>
      <c r="V106" s="87">
        <v>0.3</v>
      </c>
      <c r="W106" s="92">
        <v>0.25</v>
      </c>
      <c r="X106" s="87">
        <v>0.25</v>
      </c>
      <c r="Y106" s="87">
        <v>0.1</v>
      </c>
      <c r="Z106" s="87">
        <v>0.05</v>
      </c>
      <c r="AA106" s="87">
        <v>0.02</v>
      </c>
      <c r="AB106" s="87">
        <v>0.02</v>
      </c>
      <c r="AC106" s="88">
        <v>0.01</v>
      </c>
      <c r="AD106" s="89">
        <f>SUMPRODUCT($V$96:$AC$96,V106:AC106)</f>
        <v>14.9</v>
      </c>
      <c r="AE106" s="90">
        <f>(SUMPRODUCT($V$96:$AC$96,V106:AC106))*$AE$96*U106</f>
        <v>141247.41841895145</v>
      </c>
      <c r="AF106" s="90">
        <f>AE106/$AF$96</f>
        <v>2354.1236403158573</v>
      </c>
      <c r="AG106" s="91">
        <f>AF106*(1+$AG$96)</f>
        <v>2824.9483683790286</v>
      </c>
      <c r="AJ106" s="13" t="s">
        <v>38</v>
      </c>
      <c r="AL106" s="84">
        <v>99552.965414020509</v>
      </c>
      <c r="AM106" s="87">
        <v>0.3</v>
      </c>
      <c r="AN106" s="92">
        <v>0.25</v>
      </c>
      <c r="AO106" s="87">
        <v>0.25</v>
      </c>
      <c r="AP106" s="87">
        <v>0.1</v>
      </c>
      <c r="AQ106" s="87">
        <v>0.05</v>
      </c>
      <c r="AR106" s="87">
        <v>0.02</v>
      </c>
      <c r="AS106" s="87">
        <v>0.02</v>
      </c>
      <c r="AT106" s="88">
        <v>0.01</v>
      </c>
      <c r="AU106" s="89">
        <f>SUMPRODUCT($AM$96:$AT$96,AM106:AT106)</f>
        <v>14.9</v>
      </c>
      <c r="AV106" s="90">
        <f>(SUMPRODUCT($AM$96:$AT$96,AM106:AT106))*$AV$96*AL106</f>
        <v>296667.83693378116</v>
      </c>
      <c r="AW106" s="90">
        <f>AV106/$AW$96</f>
        <v>4944.463948896353</v>
      </c>
      <c r="AX106" s="91">
        <f>AW106*(1+$AX$96)</f>
        <v>5933.3567386756231</v>
      </c>
    </row>
    <row r="107" spans="2:50" ht="15.75" customHeight="1" x14ac:dyDescent="0.25">
      <c r="B107" s="13" t="s">
        <v>39</v>
      </c>
      <c r="D107" s="84">
        <v>104538.05366153845</v>
      </c>
      <c r="E107" s="87">
        <v>0.1</v>
      </c>
      <c r="F107" s="92">
        <v>0.12</v>
      </c>
      <c r="G107" s="87">
        <v>0.12</v>
      </c>
      <c r="H107" s="87">
        <v>0.1</v>
      </c>
      <c r="I107" s="87">
        <v>0.18</v>
      </c>
      <c r="J107" s="87">
        <v>0.2</v>
      </c>
      <c r="K107" s="87">
        <v>0.15</v>
      </c>
      <c r="L107" s="88">
        <v>0.03</v>
      </c>
      <c r="M107" s="89">
        <f>SUMPRODUCT($E$96:$L$96,E107:L107)</f>
        <v>57.71</v>
      </c>
      <c r="N107" s="90">
        <f>(SUMPRODUCT($E$96:$L$96,E107:L107))*$N$96*D107</f>
        <v>1206578.2153614769</v>
      </c>
      <c r="O107" s="90">
        <f>N107/$O$96</f>
        <v>20109.636922691283</v>
      </c>
      <c r="P107" s="91">
        <f>O107*(1+$P$96)</f>
        <v>24131.564307229539</v>
      </c>
      <c r="S107" s="13" t="s">
        <v>39</v>
      </c>
      <c r="U107" s="84">
        <v>140666.40500696612</v>
      </c>
      <c r="V107" s="87">
        <v>0.1</v>
      </c>
      <c r="W107" s="92">
        <v>0.12</v>
      </c>
      <c r="X107" s="87">
        <v>0.12</v>
      </c>
      <c r="Y107" s="87">
        <v>0.1</v>
      </c>
      <c r="Z107" s="87">
        <v>0.18</v>
      </c>
      <c r="AA107" s="87">
        <v>0.2</v>
      </c>
      <c r="AB107" s="87">
        <v>0.15</v>
      </c>
      <c r="AC107" s="88">
        <v>0.03</v>
      </c>
      <c r="AD107" s="89">
        <f>SUMPRODUCT($V$96:$AC$96,V107:AC107)</f>
        <v>57.71</v>
      </c>
      <c r="AE107" s="90">
        <f>(SUMPRODUCT($V$96:$AC$96,V107:AC107))*$AE$96*U107</f>
        <v>1623571.646590403</v>
      </c>
      <c r="AF107" s="90">
        <f>AE107/$AF$96</f>
        <v>27059.527443173385</v>
      </c>
      <c r="AG107" s="91">
        <f>AF107*(1+$AG$96)</f>
        <v>32471.43293180806</v>
      </c>
      <c r="AJ107" s="13" t="s">
        <v>39</v>
      </c>
      <c r="AL107" s="84">
        <v>295447.5102609641</v>
      </c>
      <c r="AM107" s="87">
        <v>0.1</v>
      </c>
      <c r="AN107" s="92">
        <v>0.12</v>
      </c>
      <c r="AO107" s="87">
        <v>0.12</v>
      </c>
      <c r="AP107" s="87">
        <v>0.1</v>
      </c>
      <c r="AQ107" s="87">
        <v>0.18</v>
      </c>
      <c r="AR107" s="87">
        <v>0.2</v>
      </c>
      <c r="AS107" s="87">
        <v>0.15</v>
      </c>
      <c r="AT107" s="88">
        <v>0.03</v>
      </c>
      <c r="AU107" s="89">
        <f>SUMPRODUCT($AM$96:$AT$96,AM107:AT107)</f>
        <v>57.71</v>
      </c>
      <c r="AV107" s="90">
        <f>(SUMPRODUCT($AM$96:$AT$96,AM107:AT107))*$AV$96*AL107</f>
        <v>3410055.1634320482</v>
      </c>
      <c r="AW107" s="90">
        <f>AV107/$AW$96</f>
        <v>56834.252723867467</v>
      </c>
      <c r="AX107" s="91">
        <f>AW107*(1+$AX$96)</f>
        <v>68201.10326864096</v>
      </c>
    </row>
    <row r="108" spans="2:50" ht="15.75" customHeight="1" x14ac:dyDescent="0.25">
      <c r="B108" s="13" t="s">
        <v>3</v>
      </c>
      <c r="D108" s="84">
        <v>217030.08966688963</v>
      </c>
      <c r="E108" s="87">
        <v>0.1</v>
      </c>
      <c r="F108" s="92">
        <v>0.15</v>
      </c>
      <c r="G108" s="87">
        <v>0.2</v>
      </c>
      <c r="H108" s="87">
        <v>0.18</v>
      </c>
      <c r="I108" s="87">
        <v>0.15</v>
      </c>
      <c r="J108" s="87">
        <v>0.1</v>
      </c>
      <c r="K108" s="87">
        <v>0.1</v>
      </c>
      <c r="L108" s="88">
        <v>0.02</v>
      </c>
      <c r="M108" s="89">
        <f>SUMPRODUCT($E$96:$L$96,E108:L108)</f>
        <v>38</v>
      </c>
      <c r="N108" s="90">
        <f>(SUMPRODUCT($E$96:$L$96,E108:L108))*$N$96*D108</f>
        <v>1649428.6814683613</v>
      </c>
      <c r="O108" s="90">
        <f>N108/$O$96</f>
        <v>27490.47802447269</v>
      </c>
      <c r="P108" s="91">
        <f>O108*(1+$P$96)</f>
        <v>32988.573629367223</v>
      </c>
      <c r="S108" s="13" t="s">
        <v>3</v>
      </c>
      <c r="U108" s="84">
        <v>292035.68865576666</v>
      </c>
      <c r="V108" s="87">
        <v>0.1</v>
      </c>
      <c r="W108" s="92">
        <v>0.15</v>
      </c>
      <c r="X108" s="87">
        <v>0.2</v>
      </c>
      <c r="Y108" s="87">
        <v>0.18</v>
      </c>
      <c r="Z108" s="87">
        <v>0.15</v>
      </c>
      <c r="AA108" s="87">
        <v>0.1</v>
      </c>
      <c r="AB108" s="87">
        <v>0.1</v>
      </c>
      <c r="AC108" s="88">
        <v>0.02</v>
      </c>
      <c r="AD108" s="89">
        <f>SUMPRODUCT($V$96:$AC$96,V108:AC108)</f>
        <v>38</v>
      </c>
      <c r="AE108" s="90">
        <f>(SUMPRODUCT($V$96:$AC$96,V108:AC108))*$AE$96*U108</f>
        <v>2219471.2337838267</v>
      </c>
      <c r="AF108" s="90">
        <f>AE108/$AF$96</f>
        <v>36991.187229730444</v>
      </c>
      <c r="AG108" s="91">
        <f>AF108*(1+$AG$96)</f>
        <v>44389.424675676528</v>
      </c>
      <c r="AJ108" s="13" t="s">
        <v>3</v>
      </c>
      <c r="AL108" s="84">
        <v>613374.72238961037</v>
      </c>
      <c r="AM108" s="87">
        <v>0.1</v>
      </c>
      <c r="AN108" s="92">
        <v>0.15</v>
      </c>
      <c r="AO108" s="87">
        <v>0.2</v>
      </c>
      <c r="AP108" s="87">
        <v>0.18</v>
      </c>
      <c r="AQ108" s="87">
        <v>0.15</v>
      </c>
      <c r="AR108" s="87">
        <v>0.1</v>
      </c>
      <c r="AS108" s="87">
        <v>0.1</v>
      </c>
      <c r="AT108" s="88">
        <v>0.02</v>
      </c>
      <c r="AU108" s="89">
        <f>SUMPRODUCT($AM$96:$AT$96,AM108:AT108)</f>
        <v>38</v>
      </c>
      <c r="AV108" s="90">
        <f>(SUMPRODUCT($AM$96:$AT$96,AM108:AT108))*$AV$96*AL108</f>
        <v>4661647.8901610393</v>
      </c>
      <c r="AW108" s="90">
        <f>AV108/$AW$96</f>
        <v>77694.131502683987</v>
      </c>
      <c r="AX108" s="91">
        <f>AW108*(1+$AX$96)</f>
        <v>93232.957803220779</v>
      </c>
    </row>
    <row r="109" spans="2:50" ht="31.5" customHeight="1" x14ac:dyDescent="0.25">
      <c r="B109" s="13" t="s">
        <v>40</v>
      </c>
      <c r="D109" s="84">
        <v>20453.097455518393</v>
      </c>
      <c r="E109" s="87">
        <v>0.25</v>
      </c>
      <c r="F109" s="92">
        <v>0.2</v>
      </c>
      <c r="G109" s="87">
        <v>0.17</v>
      </c>
      <c r="H109" s="87">
        <v>0.15</v>
      </c>
      <c r="I109" s="87">
        <v>0.1</v>
      </c>
      <c r="J109" s="87">
        <v>0.1</v>
      </c>
      <c r="K109" s="87">
        <v>0.02</v>
      </c>
      <c r="L109" s="88">
        <v>0.01</v>
      </c>
      <c r="M109" s="89">
        <f>SUMPRODUCT($E$96:$L$96,E109:L109)</f>
        <v>19.414999999999999</v>
      </c>
      <c r="N109" s="90">
        <f>(SUMPRODUCT($E$96:$L$96,E109:L109))*$N$96*D109</f>
        <v>79419.377419777913</v>
      </c>
      <c r="O109" s="90">
        <f>N109/$O$96</f>
        <v>1323.6562903296319</v>
      </c>
      <c r="P109" s="91">
        <f>O109*(1+$P$96)</f>
        <v>1588.3875483955583</v>
      </c>
      <c r="S109" s="13" t="s">
        <v>40</v>
      </c>
      <c r="U109" s="84">
        <v>27521.687936145547</v>
      </c>
      <c r="V109" s="87">
        <v>0.25</v>
      </c>
      <c r="W109" s="92">
        <v>0.2</v>
      </c>
      <c r="X109" s="87">
        <v>0.17</v>
      </c>
      <c r="Y109" s="87">
        <v>0.15</v>
      </c>
      <c r="Z109" s="87">
        <v>0.1</v>
      </c>
      <c r="AA109" s="87">
        <v>0.1</v>
      </c>
      <c r="AB109" s="87">
        <v>0.02</v>
      </c>
      <c r="AC109" s="88">
        <v>0.01</v>
      </c>
      <c r="AD109" s="89">
        <f>SUMPRODUCT($V$96:$AC$96,V109:AC109)</f>
        <v>19.414999999999999</v>
      </c>
      <c r="AE109" s="90">
        <f>(SUMPRODUCT($V$96:$AC$96,V109:AC109))*$AE$96*U109</f>
        <v>106866.71425605316</v>
      </c>
      <c r="AF109" s="90">
        <f>AE109/$AF$96</f>
        <v>1781.1119042675527</v>
      </c>
      <c r="AG109" s="91">
        <f>AF109*(1+$AG$96)</f>
        <v>2137.3342851210632</v>
      </c>
      <c r="AJ109" s="13" t="s">
        <v>40</v>
      </c>
      <c r="AL109" s="84">
        <v>57804.947659753852</v>
      </c>
      <c r="AM109" s="87">
        <v>0.25</v>
      </c>
      <c r="AN109" s="92">
        <v>0.2</v>
      </c>
      <c r="AO109" s="87">
        <v>0.17</v>
      </c>
      <c r="AP109" s="87">
        <v>0.15</v>
      </c>
      <c r="AQ109" s="87">
        <v>0.1</v>
      </c>
      <c r="AR109" s="87">
        <v>0.1</v>
      </c>
      <c r="AS109" s="87">
        <v>0.02</v>
      </c>
      <c r="AT109" s="88">
        <v>0.01</v>
      </c>
      <c r="AU109" s="89">
        <f>SUMPRODUCT($AM$96:$AT$96,AM109:AT109)</f>
        <v>19.414999999999999</v>
      </c>
      <c r="AV109" s="90">
        <f>(SUMPRODUCT($AM$96:$AT$96,AM109:AT109))*$AV$96*AL109</f>
        <v>224456.61176282421</v>
      </c>
      <c r="AW109" s="90">
        <f>AV109/$AW$96</f>
        <v>3740.9435293804036</v>
      </c>
      <c r="AX109" s="91">
        <f>AW109*(1+$AX$96)</f>
        <v>4489.1322352564839</v>
      </c>
    </row>
    <row r="110" spans="2:50" ht="15.75" customHeight="1" x14ac:dyDescent="0.25">
      <c r="B110" s="13" t="s">
        <v>2</v>
      </c>
      <c r="D110" s="84">
        <v>71585.841094314383</v>
      </c>
      <c r="E110" s="87">
        <v>0.3</v>
      </c>
      <c r="F110" s="92">
        <v>0.27</v>
      </c>
      <c r="G110" s="87">
        <v>0.2</v>
      </c>
      <c r="H110" s="87">
        <v>0.05</v>
      </c>
      <c r="I110" s="87">
        <v>0.1</v>
      </c>
      <c r="J110" s="87">
        <v>0.05</v>
      </c>
      <c r="K110" s="87">
        <v>0.02</v>
      </c>
      <c r="L110" s="88">
        <v>0.01</v>
      </c>
      <c r="M110" s="89">
        <f>SUMPRODUCT($E$96:$L$96,E110:L110)</f>
        <v>16.57</v>
      </c>
      <c r="N110" s="90">
        <f>(SUMPRODUCT($E$96:$L$96,E110:L110))*$N$96*D110</f>
        <v>237235.47738655788</v>
      </c>
      <c r="O110" s="90">
        <f>N110/$O$96</f>
        <v>3953.924623109298</v>
      </c>
      <c r="P110" s="91">
        <f>O110*(1+$P$96)</f>
        <v>4744.7095477311577</v>
      </c>
      <c r="S110" s="13" t="s">
        <v>2</v>
      </c>
      <c r="U110" s="84">
        <v>96325.907776509426</v>
      </c>
      <c r="V110" s="87">
        <v>0.3</v>
      </c>
      <c r="W110" s="92">
        <v>0.27</v>
      </c>
      <c r="X110" s="87">
        <v>0.2</v>
      </c>
      <c r="Y110" s="87">
        <v>0.05</v>
      </c>
      <c r="Z110" s="87">
        <v>0.1</v>
      </c>
      <c r="AA110" s="87">
        <v>0.05</v>
      </c>
      <c r="AB110" s="87">
        <v>0.02</v>
      </c>
      <c r="AC110" s="88">
        <v>0.01</v>
      </c>
      <c r="AD110" s="89">
        <f>SUMPRODUCT($V$96:$AC$96,V110:AC110)</f>
        <v>16.57</v>
      </c>
      <c r="AE110" s="90">
        <f>(SUMPRODUCT($V$96:$AC$96,V110:AC110))*$AE$96*U110</f>
        <v>319224.05837135226</v>
      </c>
      <c r="AF110" s="90">
        <f>AE110/$AF$96</f>
        <v>5320.4009728558713</v>
      </c>
      <c r="AG110" s="91">
        <f>AF110*(1+$AG$96)</f>
        <v>6384.481167427045</v>
      </c>
      <c r="AJ110" s="13" t="s">
        <v>2</v>
      </c>
      <c r="AL110" s="84">
        <v>202317.31680913849</v>
      </c>
      <c r="AM110" s="87">
        <v>0.3</v>
      </c>
      <c r="AN110" s="92">
        <v>0.27</v>
      </c>
      <c r="AO110" s="87">
        <v>0.2</v>
      </c>
      <c r="AP110" s="87">
        <v>0.05</v>
      </c>
      <c r="AQ110" s="87">
        <v>0.1</v>
      </c>
      <c r="AR110" s="87">
        <v>0.05</v>
      </c>
      <c r="AS110" s="87">
        <v>0.02</v>
      </c>
      <c r="AT110" s="88">
        <v>0.01</v>
      </c>
      <c r="AU110" s="89">
        <f>SUMPRODUCT($AM$96:$AT$96,AM110:AT110)</f>
        <v>16.57</v>
      </c>
      <c r="AV110" s="90">
        <f>(SUMPRODUCT($AM$96:$AT$96,AM110:AT110))*$AV$96*AL110</f>
        <v>670479.58790548495</v>
      </c>
      <c r="AW110" s="90">
        <f>AV110/$AW$96</f>
        <v>11174.659798424749</v>
      </c>
      <c r="AX110" s="91">
        <f>AW110*(1+$AX$96)</f>
        <v>13409.591758109698</v>
      </c>
    </row>
    <row r="111" spans="2:50" ht="15.75" customHeight="1" x14ac:dyDescent="0.25">
      <c r="B111" s="13" t="s">
        <v>41</v>
      </c>
      <c r="D111" s="84">
        <v>46587.610870903001</v>
      </c>
      <c r="E111" s="87">
        <v>0.1</v>
      </c>
      <c r="F111" s="92">
        <v>0.14000000000000001</v>
      </c>
      <c r="G111" s="87">
        <v>0.15</v>
      </c>
      <c r="H111" s="87">
        <v>0.2</v>
      </c>
      <c r="I111" s="87">
        <v>0.25</v>
      </c>
      <c r="J111" s="87">
        <v>0.1</v>
      </c>
      <c r="K111" s="87">
        <v>0.05</v>
      </c>
      <c r="L111" s="88">
        <v>0.01</v>
      </c>
      <c r="M111" s="89">
        <f>SUMPRODUCT($E$96:$L$96,E111:L111)</f>
        <v>23.990000000000002</v>
      </c>
      <c r="N111" s="90">
        <f>(SUMPRODUCT($E$96:$L$96,E111:L111))*$N$96*D111</f>
        <v>223527.35695859263</v>
      </c>
      <c r="O111" s="90">
        <f>N111/$O$96</f>
        <v>3725.4559493098773</v>
      </c>
      <c r="P111" s="91">
        <f>O111*(1+$P$96)</f>
        <v>4470.5471391718529</v>
      </c>
      <c r="S111" s="13" t="s">
        <v>41</v>
      </c>
      <c r="U111" s="84">
        <v>62688.289187887072</v>
      </c>
      <c r="V111" s="87">
        <v>0.1</v>
      </c>
      <c r="W111" s="92">
        <v>0.14000000000000001</v>
      </c>
      <c r="X111" s="87">
        <v>0.15</v>
      </c>
      <c r="Y111" s="87">
        <v>0.2</v>
      </c>
      <c r="Z111" s="87">
        <v>0.25</v>
      </c>
      <c r="AA111" s="87">
        <v>0.1</v>
      </c>
      <c r="AB111" s="87">
        <v>0.05</v>
      </c>
      <c r="AC111" s="88">
        <v>0.01</v>
      </c>
      <c r="AD111" s="89">
        <f>SUMPRODUCT($V$96:$AC$96,V111:AC111)</f>
        <v>23.990000000000002</v>
      </c>
      <c r="AE111" s="90">
        <f>(SUMPRODUCT($V$96:$AC$96,V111:AC111))*$AE$96*U111</f>
        <v>300778.41152348224</v>
      </c>
      <c r="AF111" s="90">
        <f>AE111/$AF$96</f>
        <v>5012.9735253913705</v>
      </c>
      <c r="AG111" s="91">
        <f>AF111*(1+$AG$96)</f>
        <v>6015.5682304696447</v>
      </c>
      <c r="AJ111" s="13" t="s">
        <v>41</v>
      </c>
      <c r="AL111" s="84">
        <v>131666.82522499486</v>
      </c>
      <c r="AM111" s="87">
        <v>0.1</v>
      </c>
      <c r="AN111" s="92">
        <v>0.14000000000000001</v>
      </c>
      <c r="AO111" s="87">
        <v>0.15</v>
      </c>
      <c r="AP111" s="87">
        <v>0.2</v>
      </c>
      <c r="AQ111" s="87">
        <v>0.25</v>
      </c>
      <c r="AR111" s="87">
        <v>0.1</v>
      </c>
      <c r="AS111" s="87">
        <v>0.05</v>
      </c>
      <c r="AT111" s="88">
        <v>0.01</v>
      </c>
      <c r="AU111" s="89">
        <f>SUMPRODUCT($AM$96:$AT$96,AM111:AT111)</f>
        <v>23.990000000000002</v>
      </c>
      <c r="AV111" s="90">
        <f>(SUMPRODUCT($AM$96:$AT$96,AM111:AT111))*$AV$96*AL111</f>
        <v>631737.42742952541</v>
      </c>
      <c r="AW111" s="90">
        <f>AV111/$AW$96</f>
        <v>10528.957123825423</v>
      </c>
      <c r="AX111" s="91">
        <f>AW111*(1+$AX$96)</f>
        <v>12634.748548590507</v>
      </c>
    </row>
    <row r="112" spans="2:50" ht="15.75" customHeight="1" x14ac:dyDescent="0.25">
      <c r="B112" s="13" t="s">
        <v>42</v>
      </c>
      <c r="D112" s="84">
        <v>63631.858750501662</v>
      </c>
      <c r="E112" s="87">
        <v>0.1</v>
      </c>
      <c r="F112" s="92">
        <v>0.15</v>
      </c>
      <c r="G112" s="87">
        <v>0.2</v>
      </c>
      <c r="H112" s="87">
        <v>0.22</v>
      </c>
      <c r="I112" s="87">
        <v>0.2</v>
      </c>
      <c r="J112" s="87">
        <v>0.1</v>
      </c>
      <c r="K112" s="87">
        <v>0.02</v>
      </c>
      <c r="L112" s="88">
        <v>0.01</v>
      </c>
      <c r="M112" s="89">
        <f>SUMPRODUCT($E$96:$L$96,E112:L112)</f>
        <v>20.7</v>
      </c>
      <c r="N112" s="90">
        <f>(SUMPRODUCT($E$96:$L$96,E112:L112))*$N$96*D112</f>
        <v>263435.89522707683</v>
      </c>
      <c r="O112" s="90">
        <f>N112/$O$96</f>
        <v>4390.5982537846139</v>
      </c>
      <c r="P112" s="91">
        <f>O112*(1+$P$96)</f>
        <v>5268.7179045415369</v>
      </c>
      <c r="S112" s="13" t="s">
        <v>42</v>
      </c>
      <c r="U112" s="84">
        <v>85623.029134675031</v>
      </c>
      <c r="V112" s="87">
        <v>0.1</v>
      </c>
      <c r="W112" s="92">
        <v>0.15</v>
      </c>
      <c r="X112" s="87">
        <v>0.2</v>
      </c>
      <c r="Y112" s="87">
        <v>0.22</v>
      </c>
      <c r="Z112" s="87">
        <v>0.2</v>
      </c>
      <c r="AA112" s="87">
        <v>0.1</v>
      </c>
      <c r="AB112" s="87">
        <v>0.02</v>
      </c>
      <c r="AC112" s="88">
        <v>0.01</v>
      </c>
      <c r="AD112" s="89">
        <f>SUMPRODUCT($V$96:$AC$96,V112:AC112)</f>
        <v>20.7</v>
      </c>
      <c r="AE112" s="90">
        <f>(SUMPRODUCT($V$96:$AC$96,V112:AC112))*$AE$96*U112</f>
        <v>354479.34061755461</v>
      </c>
      <c r="AF112" s="90">
        <f>AE112/$AF$96</f>
        <v>5907.9890102925765</v>
      </c>
      <c r="AG112" s="91">
        <f>AF112*(1+$AG$96)</f>
        <v>7089.5868123510918</v>
      </c>
      <c r="AJ112" s="13" t="s">
        <v>42</v>
      </c>
      <c r="AL112" s="84">
        <v>179837.61494145641</v>
      </c>
      <c r="AM112" s="87">
        <v>0.1</v>
      </c>
      <c r="AN112" s="92">
        <v>0.15</v>
      </c>
      <c r="AO112" s="87">
        <v>0.2</v>
      </c>
      <c r="AP112" s="87">
        <v>0.22</v>
      </c>
      <c r="AQ112" s="87">
        <v>0.2</v>
      </c>
      <c r="AR112" s="87">
        <v>0.1</v>
      </c>
      <c r="AS112" s="87">
        <v>0.02</v>
      </c>
      <c r="AT112" s="88">
        <v>0.01</v>
      </c>
      <c r="AU112" s="89">
        <f>SUMPRODUCT($AM$96:$AT$96,AM112:AT112)</f>
        <v>20.7</v>
      </c>
      <c r="AV112" s="90">
        <f>(SUMPRODUCT($AM$96:$AT$96,AM112:AT112))*$AV$96*AL112</f>
        <v>744527.72585762944</v>
      </c>
      <c r="AW112" s="90">
        <f>AV112/$AW$96</f>
        <v>12408.79543096049</v>
      </c>
      <c r="AX112" s="91">
        <f>AW112*(1+$AX$96)</f>
        <v>14890.554517152588</v>
      </c>
    </row>
    <row r="113" spans="2:50" ht="15.75" customHeight="1" x14ac:dyDescent="0.25">
      <c r="B113" s="13" t="s">
        <v>43</v>
      </c>
      <c r="D113" s="84">
        <v>898140.00802675576</v>
      </c>
      <c r="E113" s="87">
        <v>0.05</v>
      </c>
      <c r="F113" s="92">
        <v>0.05</v>
      </c>
      <c r="G113" s="87">
        <v>0.1</v>
      </c>
      <c r="H113" s="87">
        <v>0.1</v>
      </c>
      <c r="I113" s="87">
        <v>0.15</v>
      </c>
      <c r="J113" s="87">
        <v>0.2</v>
      </c>
      <c r="K113" s="87">
        <v>0.25</v>
      </c>
      <c r="L113" s="88">
        <v>0.1</v>
      </c>
      <c r="M113" s="89">
        <f>SUMPRODUCT($E$96:$L$96,E113:L113)</f>
        <v>137.27500000000001</v>
      </c>
      <c r="N113" s="90">
        <f>(SUMPRODUCT($E$96:$L$96,E113:L113))*$N$96*D113</f>
        <v>24658433.92037458</v>
      </c>
      <c r="O113" s="90">
        <f>N113/$O$96</f>
        <v>410973.89867290965</v>
      </c>
      <c r="P113" s="91">
        <f>O113*(1+$P$96)</f>
        <v>493168.67840749153</v>
      </c>
      <c r="S113" s="13" t="s">
        <v>43</v>
      </c>
      <c r="U113" s="84">
        <v>925810.94421277149</v>
      </c>
      <c r="V113" s="87">
        <v>0.05</v>
      </c>
      <c r="W113" s="92">
        <v>0.05</v>
      </c>
      <c r="X113" s="87">
        <v>0.1</v>
      </c>
      <c r="Y113" s="87">
        <v>0.1</v>
      </c>
      <c r="Z113" s="87">
        <v>0.15</v>
      </c>
      <c r="AA113" s="87">
        <v>0.2</v>
      </c>
      <c r="AB113" s="87">
        <v>0.25</v>
      </c>
      <c r="AC113" s="88">
        <v>0.1</v>
      </c>
      <c r="AD113" s="89">
        <f>SUMPRODUCT($V$96:$AC$96,V113:AC113)</f>
        <v>137.27500000000001</v>
      </c>
      <c r="AE113" s="90">
        <f>(SUMPRODUCT($V$96:$AC$96,V113:AC113))*$AE$96*U113</f>
        <v>25418139.473361641</v>
      </c>
      <c r="AF113" s="90">
        <f>AE113/$AF$96</f>
        <v>423635.65788936068</v>
      </c>
      <c r="AG113" s="91">
        <f>AF113*(1+$AG$96)</f>
        <v>508362.78946723277</v>
      </c>
      <c r="AJ113" s="13" t="s">
        <v>43</v>
      </c>
      <c r="AL113" s="84">
        <v>986752.23960889026</v>
      </c>
      <c r="AM113" s="87">
        <v>0.05</v>
      </c>
      <c r="AN113" s="92">
        <v>0.05</v>
      </c>
      <c r="AO113" s="87">
        <v>0.1</v>
      </c>
      <c r="AP113" s="87">
        <v>0.1</v>
      </c>
      <c r="AQ113" s="87">
        <v>0.15</v>
      </c>
      <c r="AR113" s="87">
        <v>0.2</v>
      </c>
      <c r="AS113" s="87">
        <v>0.25</v>
      </c>
      <c r="AT113" s="88">
        <v>0.1</v>
      </c>
      <c r="AU113" s="89">
        <f>SUMPRODUCT($AM$96:$AT$96,AM113:AT113)</f>
        <v>137.27500000000001</v>
      </c>
      <c r="AV113" s="90">
        <f>(SUMPRODUCT($AM$96:$AT$96,AM113:AT113))*$AV$96*AL113</f>
        <v>27091282.738462083</v>
      </c>
      <c r="AW113" s="90">
        <f>AV113/$AW$96</f>
        <v>451521.37897436804</v>
      </c>
      <c r="AX113" s="91">
        <f>AW113*(1+$AX$96)</f>
        <v>541825.65476924158</v>
      </c>
    </row>
    <row r="114" spans="2:50" ht="15.75" customHeight="1" thickBot="1" x14ac:dyDescent="0.3">
      <c r="B114" s="103" t="s">
        <v>44</v>
      </c>
      <c r="D114" s="93">
        <v>15519.86301369863</v>
      </c>
      <c r="E114" s="94">
        <v>0.05</v>
      </c>
      <c r="F114" s="94">
        <v>0.13</v>
      </c>
      <c r="G114" s="95">
        <v>0.2</v>
      </c>
      <c r="H114" s="95">
        <v>0.25</v>
      </c>
      <c r="I114" s="95">
        <v>0.2</v>
      </c>
      <c r="J114" s="95">
        <v>0.1</v>
      </c>
      <c r="K114" s="95">
        <v>0.05</v>
      </c>
      <c r="L114" s="96">
        <v>0.02</v>
      </c>
      <c r="M114" s="97">
        <f>SUMPRODUCT($E$96:$L$96,E114:L114)</f>
        <v>33.805</v>
      </c>
      <c r="N114" s="98">
        <f>(SUMPRODUCT($E$96:$L$96,E114:L114))*$N$96*D114</f>
        <v>104929.79383561644</v>
      </c>
      <c r="O114" s="98">
        <f>N114/$O$96</f>
        <v>1748.829897260274</v>
      </c>
      <c r="P114" s="99">
        <f>O114*(1+$P$96)</f>
        <v>2098.5958767123288</v>
      </c>
      <c r="S114" s="103" t="s">
        <v>44</v>
      </c>
      <c r="U114" s="93">
        <v>16948.078407534249</v>
      </c>
      <c r="V114" s="94">
        <v>0.05</v>
      </c>
      <c r="W114" s="94">
        <v>0.13</v>
      </c>
      <c r="X114" s="95">
        <v>0.2</v>
      </c>
      <c r="Y114" s="95">
        <v>0.25</v>
      </c>
      <c r="Z114" s="95">
        <v>0.2</v>
      </c>
      <c r="AA114" s="95">
        <v>0.1</v>
      </c>
      <c r="AB114" s="95">
        <v>0.05</v>
      </c>
      <c r="AC114" s="96">
        <v>0.02</v>
      </c>
      <c r="AD114" s="97">
        <f>SUMPRODUCT($V$96:$AC$96,V114:AC114)</f>
        <v>33.805</v>
      </c>
      <c r="AE114" s="98">
        <f>(SUMPRODUCT($V$96:$AC$96,V114:AC114))*$AE$96*U114</f>
        <v>114585.95811333906</v>
      </c>
      <c r="AF114" s="98">
        <f>AE114/$AF$96</f>
        <v>1909.7659685556509</v>
      </c>
      <c r="AG114" s="99">
        <f>AF114*(1+$AG$96)</f>
        <v>2291.719162266781</v>
      </c>
      <c r="AJ114" s="103" t="s">
        <v>44</v>
      </c>
      <c r="AL114" s="93">
        <v>21221.637274022749</v>
      </c>
      <c r="AM114" s="94">
        <v>0.05</v>
      </c>
      <c r="AN114" s="94">
        <v>0.13</v>
      </c>
      <c r="AO114" s="95">
        <v>0.2</v>
      </c>
      <c r="AP114" s="95">
        <v>0.25</v>
      </c>
      <c r="AQ114" s="95">
        <v>0.2</v>
      </c>
      <c r="AR114" s="95">
        <v>0.1</v>
      </c>
      <c r="AS114" s="95">
        <v>0.05</v>
      </c>
      <c r="AT114" s="96">
        <v>0.02</v>
      </c>
      <c r="AU114" s="97">
        <f>SUMPRODUCT($AM$96:$AT$96,AM114:AT114)</f>
        <v>33.805</v>
      </c>
      <c r="AV114" s="98">
        <f>(SUMPRODUCT($AM$96:$AT$96,AM114:AT114))*$AV$96*AL114</f>
        <v>143479.4896096678</v>
      </c>
      <c r="AW114" s="98">
        <f>AV114/$AW$96</f>
        <v>2391.3248268277966</v>
      </c>
      <c r="AX114" s="99">
        <f>AW114*(1+$AX$96)</f>
        <v>2869.5897921933561</v>
      </c>
    </row>
    <row r="115" spans="2:50" ht="15.75" customHeight="1" x14ac:dyDescent="0.25">
      <c r="B115" s="104" t="s">
        <v>182</v>
      </c>
      <c r="D115" s="100">
        <f>SUM(D98:D114)</f>
        <v>2006764.3017187151</v>
      </c>
      <c r="M115" s="8"/>
      <c r="N115" s="100">
        <f>SUM(N98:N114)</f>
        <v>32154481.361179806</v>
      </c>
      <c r="O115" s="101">
        <f>N115/$O$96</f>
        <v>535908.02268633014</v>
      </c>
      <c r="P115" s="101">
        <f>O115*(1+$P$96)</f>
        <v>643089.62722359609</v>
      </c>
      <c r="S115" s="104" t="s">
        <v>182</v>
      </c>
      <c r="U115" s="100">
        <f>SUM(U98:U114)</f>
        <v>2413640.3445409732</v>
      </c>
      <c r="AD115" s="8"/>
      <c r="AE115" s="100">
        <f>SUM(AE98:AE114)</f>
        <v>35478213.337237291</v>
      </c>
      <c r="AF115" s="101">
        <f>AE115/$AF$96</f>
        <v>591303.55562062154</v>
      </c>
      <c r="AG115" s="101">
        <f>AF115*(1+$AG$96)</f>
        <v>709564.26674474578</v>
      </c>
      <c r="AJ115" s="104" t="s">
        <v>182</v>
      </c>
      <c r="AL115" s="100">
        <f>SUM(AL98:AL114)</f>
        <v>4097327.190698646</v>
      </c>
      <c r="AU115" s="8"/>
      <c r="AV115" s="100">
        <f>SUM(AV98:AV114)</f>
        <v>48123684.781701304</v>
      </c>
      <c r="AW115" s="101">
        <f>AV115/$AW$96</f>
        <v>802061.41302835511</v>
      </c>
      <c r="AX115" s="101">
        <f>AW115*(1+$AX$96)</f>
        <v>962473.69563402608</v>
      </c>
    </row>
    <row r="116" spans="2:50" ht="15" customHeight="1" x14ac:dyDescent="0.25">
      <c r="M116" s="8"/>
      <c r="N116" s="8">
        <f>N115/D115</f>
        <v>16.023048313965297</v>
      </c>
      <c r="O116" s="8">
        <f>N116/$O$96</f>
        <v>0.26705080523275498</v>
      </c>
      <c r="P116" s="8">
        <f>O116*(1+$P$96)</f>
        <v>0.32046096627930598</v>
      </c>
      <c r="AD116" s="8"/>
      <c r="AE116" s="8">
        <f>AE115/U115</f>
        <v>14.69904719544475</v>
      </c>
      <c r="AF116" s="8">
        <f>AE116/$AF$96</f>
        <v>0.24498411992407917</v>
      </c>
      <c r="AG116" s="8">
        <f>AF116*(1+$AG$96)</f>
        <v>0.29398094390889501</v>
      </c>
      <c r="AU116" s="8"/>
      <c r="AV116" s="8">
        <f>AV115/AL115</f>
        <v>11.745140805681084</v>
      </c>
      <c r="AW116" s="8">
        <f>AV116/$AW$96</f>
        <v>0.19575234676135139</v>
      </c>
      <c r="AX116" s="8">
        <f>AW116*(1+$AX$96)</f>
        <v>0.23490281611362165</v>
      </c>
    </row>
    <row r="120" spans="2:50" ht="15" customHeight="1" x14ac:dyDescent="0.25">
      <c r="C120">
        <v>2023</v>
      </c>
      <c r="T120">
        <v>2025</v>
      </c>
      <c r="AK120">
        <v>2030</v>
      </c>
    </row>
    <row r="121" spans="2:50" ht="20.100000000000001" customHeight="1" x14ac:dyDescent="0.25">
      <c r="C121" s="102" t="s">
        <v>14</v>
      </c>
      <c r="T121" s="102" t="s">
        <v>14</v>
      </c>
      <c r="AK121" s="102" t="s">
        <v>14</v>
      </c>
    </row>
    <row r="122" spans="2:50" ht="15" customHeight="1" thickBot="1" x14ac:dyDescent="0.3"/>
    <row r="123" spans="2:50" ht="55.35" customHeight="1" thickBot="1" x14ac:dyDescent="0.3">
      <c r="B123" s="138" t="s">
        <v>5</v>
      </c>
      <c r="C123" s="8"/>
      <c r="D123" s="140" t="s">
        <v>46</v>
      </c>
      <c r="E123" s="142" t="s">
        <v>25</v>
      </c>
      <c r="F123" s="143"/>
      <c r="G123" s="143"/>
      <c r="H123" s="143"/>
      <c r="I123" s="143"/>
      <c r="J123" s="143"/>
      <c r="K123" s="143"/>
      <c r="L123" s="144"/>
      <c r="M123" s="145" t="s">
        <v>6</v>
      </c>
      <c r="N123" s="9" t="s">
        <v>7</v>
      </c>
      <c r="O123" s="9" t="s">
        <v>8</v>
      </c>
      <c r="P123" s="9" t="s">
        <v>9</v>
      </c>
      <c r="S123" s="138" t="s">
        <v>5</v>
      </c>
      <c r="T123" s="8"/>
      <c r="U123" s="140" t="s">
        <v>46</v>
      </c>
      <c r="V123" s="142" t="s">
        <v>25</v>
      </c>
      <c r="W123" s="143"/>
      <c r="X123" s="143"/>
      <c r="Y123" s="143"/>
      <c r="Z123" s="143"/>
      <c r="AA123" s="143"/>
      <c r="AB123" s="143"/>
      <c r="AC123" s="144"/>
      <c r="AD123" s="145" t="s">
        <v>6</v>
      </c>
      <c r="AE123" s="9" t="s">
        <v>7</v>
      </c>
      <c r="AF123" s="9" t="s">
        <v>8</v>
      </c>
      <c r="AG123" s="9" t="s">
        <v>9</v>
      </c>
      <c r="AJ123" s="138" t="s">
        <v>5</v>
      </c>
      <c r="AK123" s="8"/>
      <c r="AL123" s="140" t="s">
        <v>46</v>
      </c>
      <c r="AM123" s="142" t="s">
        <v>25</v>
      </c>
      <c r="AN123" s="143"/>
      <c r="AO123" s="143"/>
      <c r="AP123" s="143"/>
      <c r="AQ123" s="143"/>
      <c r="AR123" s="143"/>
      <c r="AS123" s="143"/>
      <c r="AT123" s="144"/>
      <c r="AU123" s="145" t="s">
        <v>6</v>
      </c>
      <c r="AV123" s="9" t="s">
        <v>7</v>
      </c>
      <c r="AW123" s="9" t="s">
        <v>8</v>
      </c>
      <c r="AX123" s="9" t="s">
        <v>9</v>
      </c>
    </row>
    <row r="124" spans="2:50" ht="16.5" customHeight="1" thickBot="1" x14ac:dyDescent="0.3">
      <c r="B124" s="139"/>
      <c r="C124" s="8"/>
      <c r="D124" s="141"/>
      <c r="E124" s="10">
        <v>0.5</v>
      </c>
      <c r="F124" s="10">
        <v>1</v>
      </c>
      <c r="G124" s="10">
        <v>2</v>
      </c>
      <c r="H124" s="10">
        <v>5</v>
      </c>
      <c r="I124" s="10">
        <v>10</v>
      </c>
      <c r="J124" s="10">
        <v>50</v>
      </c>
      <c r="K124" s="10">
        <v>100</v>
      </c>
      <c r="L124" s="10">
        <v>1000</v>
      </c>
      <c r="M124" s="146"/>
      <c r="N124" s="59">
        <f>'Network Parameters'!$C$8</f>
        <v>0.2</v>
      </c>
      <c r="O124" s="60">
        <f>'Network Parameters'!$C$9</f>
        <v>60</v>
      </c>
      <c r="P124" s="61">
        <f>'Network Parameters'!$C$10</f>
        <v>0.2</v>
      </c>
      <c r="S124" s="139"/>
      <c r="T124" s="8"/>
      <c r="U124" s="141"/>
      <c r="V124" s="10">
        <v>0.5</v>
      </c>
      <c r="W124" s="10">
        <v>1</v>
      </c>
      <c r="X124" s="10">
        <v>2</v>
      </c>
      <c r="Y124" s="10">
        <v>5</v>
      </c>
      <c r="Z124" s="10">
        <v>10</v>
      </c>
      <c r="AA124" s="10">
        <v>50</v>
      </c>
      <c r="AB124" s="10">
        <v>100</v>
      </c>
      <c r="AC124" s="10">
        <v>1000</v>
      </c>
      <c r="AD124" s="146"/>
      <c r="AE124" s="59">
        <f>'Network Parameters'!$C$8</f>
        <v>0.2</v>
      </c>
      <c r="AF124" s="60">
        <f>'Network Parameters'!$C$9</f>
        <v>60</v>
      </c>
      <c r="AG124" s="61">
        <f>'Network Parameters'!$C$10</f>
        <v>0.2</v>
      </c>
      <c r="AJ124" s="139"/>
      <c r="AK124" s="8"/>
      <c r="AL124" s="141"/>
      <c r="AM124" s="10">
        <v>0.5</v>
      </c>
      <c r="AN124" s="10">
        <v>1</v>
      </c>
      <c r="AO124" s="10">
        <v>2</v>
      </c>
      <c r="AP124" s="10">
        <v>5</v>
      </c>
      <c r="AQ124" s="10">
        <v>10</v>
      </c>
      <c r="AR124" s="10">
        <v>50</v>
      </c>
      <c r="AS124" s="10">
        <v>100</v>
      </c>
      <c r="AT124" s="10">
        <v>1000</v>
      </c>
      <c r="AU124" s="146"/>
      <c r="AV124" s="59">
        <f>'Network Parameters'!$C$8</f>
        <v>0.2</v>
      </c>
      <c r="AW124" s="60">
        <f>'Network Parameters'!$C$9</f>
        <v>60</v>
      </c>
      <c r="AX124" s="61">
        <f>'Network Parameters'!$C$10</f>
        <v>0.2</v>
      </c>
    </row>
    <row r="125" spans="2:50" ht="15" customHeight="1" thickBo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2:50" ht="41.25" customHeight="1" x14ac:dyDescent="0.25">
      <c r="B126" s="13" t="s">
        <v>32</v>
      </c>
      <c r="D126" s="77">
        <v>35833.866601337795</v>
      </c>
      <c r="E126" s="78">
        <v>0.3</v>
      </c>
      <c r="F126" s="78">
        <v>0.3</v>
      </c>
      <c r="G126" s="78">
        <v>0.25</v>
      </c>
      <c r="H126" s="79">
        <v>0.05</v>
      </c>
      <c r="I126" s="78">
        <v>0.05</v>
      </c>
      <c r="J126" s="78">
        <v>0.02</v>
      </c>
      <c r="K126" s="78">
        <v>0.02</v>
      </c>
      <c r="L126" s="80">
        <v>0.01</v>
      </c>
      <c r="M126" s="81">
        <f>SUMPRODUCT($E$124:$L$124,E126:L126)</f>
        <v>14.7</v>
      </c>
      <c r="N126" s="82">
        <f>(SUMPRODUCT($E$124:$L$124,E126:L126))*$N$124*D126</f>
        <v>105351.56780793311</v>
      </c>
      <c r="O126" s="82">
        <f>N126/$O$124</f>
        <v>1755.8594634655519</v>
      </c>
      <c r="P126" s="83">
        <f>O126*(1+$P$124)</f>
        <v>2107.0313561586622</v>
      </c>
      <c r="S126" s="13" t="s">
        <v>32</v>
      </c>
      <c r="U126" s="77">
        <v>48218.050898760135</v>
      </c>
      <c r="V126" s="78">
        <v>0.3</v>
      </c>
      <c r="W126" s="78">
        <v>0.3</v>
      </c>
      <c r="X126" s="78">
        <v>0.25</v>
      </c>
      <c r="Y126" s="79">
        <v>0.05</v>
      </c>
      <c r="Z126" s="78">
        <v>0.05</v>
      </c>
      <c r="AA126" s="78">
        <v>0.02</v>
      </c>
      <c r="AB126" s="78">
        <v>0.02</v>
      </c>
      <c r="AC126" s="80">
        <v>0.01</v>
      </c>
      <c r="AD126" s="81">
        <f>SUMPRODUCT($V$124:$AC$124,V126:AC126)</f>
        <v>14.7</v>
      </c>
      <c r="AE126" s="82">
        <f>(SUMPRODUCT($V$124:$AC$124,V126:AC126))*$AE$124*U126</f>
        <v>141761.06964235479</v>
      </c>
      <c r="AF126" s="82">
        <f>AE126/$AF$124</f>
        <v>2362.6844940392466</v>
      </c>
      <c r="AG126" s="83">
        <f>AF126*(1+$AG$124)</f>
        <v>2835.221392847096</v>
      </c>
      <c r="AJ126" s="13" t="s">
        <v>32</v>
      </c>
      <c r="AL126" s="77">
        <v>101274.380950943</v>
      </c>
      <c r="AM126" s="78">
        <v>0.3</v>
      </c>
      <c r="AN126" s="78">
        <v>0.3</v>
      </c>
      <c r="AO126" s="78">
        <v>0.25</v>
      </c>
      <c r="AP126" s="79">
        <v>0.05</v>
      </c>
      <c r="AQ126" s="78">
        <v>0.05</v>
      </c>
      <c r="AR126" s="78">
        <v>0.02</v>
      </c>
      <c r="AS126" s="78">
        <v>0.02</v>
      </c>
      <c r="AT126" s="80">
        <v>0.01</v>
      </c>
      <c r="AU126" s="81">
        <f>SUMPRODUCT($AM$124:$AT$124,AM126:AT126)</f>
        <v>14.7</v>
      </c>
      <c r="AV126" s="82">
        <f>(SUMPRODUCT($AM$124:$AT$124,AM126:AT126))*$AV$124*AL126</f>
        <v>297746.67999577243</v>
      </c>
      <c r="AW126" s="82">
        <f>AV126/$AW$124</f>
        <v>4962.4446665962068</v>
      </c>
      <c r="AX126" s="83">
        <f>AW126*(1+$AX$124)</f>
        <v>5954.9335999154482</v>
      </c>
    </row>
    <row r="127" spans="2:50" ht="15.75" customHeight="1" x14ac:dyDescent="0.25">
      <c r="B127" s="13" t="s">
        <v>33</v>
      </c>
      <c r="D127" s="84">
        <v>6872.2483892976579</v>
      </c>
      <c r="E127" s="85">
        <v>0.3</v>
      </c>
      <c r="F127" s="85">
        <v>0.3</v>
      </c>
      <c r="G127" s="86">
        <v>0.2</v>
      </c>
      <c r="H127" s="87">
        <v>0.05</v>
      </c>
      <c r="I127" s="87">
        <v>0.1</v>
      </c>
      <c r="J127" s="87">
        <v>0.02</v>
      </c>
      <c r="K127" s="87">
        <v>0.02</v>
      </c>
      <c r="L127" s="88">
        <v>0.01</v>
      </c>
      <c r="M127" s="89">
        <f>SUMPRODUCT($E$124:$L$124,E127:L127)</f>
        <v>15.1</v>
      </c>
      <c r="N127" s="90">
        <f>(SUMPRODUCT($E$124:$L$124,E127:L127))*$N$124*D127</f>
        <v>20754.190135678928</v>
      </c>
      <c r="O127" s="90">
        <f>N127/$O$124</f>
        <v>345.90316892798211</v>
      </c>
      <c r="P127" s="91">
        <f>O127*(1+$P$124)</f>
        <v>415.08380271357851</v>
      </c>
      <c r="S127" s="13" t="s">
        <v>33</v>
      </c>
      <c r="U127" s="84">
        <v>9247.2974326389285</v>
      </c>
      <c r="V127" s="85">
        <v>0.3</v>
      </c>
      <c r="W127" s="85">
        <v>0.3</v>
      </c>
      <c r="X127" s="86">
        <v>0.2</v>
      </c>
      <c r="Y127" s="87">
        <v>0.05</v>
      </c>
      <c r="Z127" s="87">
        <v>0.1</v>
      </c>
      <c r="AA127" s="87">
        <v>0.02</v>
      </c>
      <c r="AB127" s="87">
        <v>0.02</v>
      </c>
      <c r="AC127" s="88">
        <v>0.01</v>
      </c>
      <c r="AD127" s="89">
        <f>SUMPRODUCT($V$124:$AC$124,V127:AC127)</f>
        <v>15.1</v>
      </c>
      <c r="AE127" s="90">
        <f>(SUMPRODUCT($V$124:$AC$124,V127:AC127))*$AE$124*U127</f>
        <v>27926.838246569565</v>
      </c>
      <c r="AF127" s="90">
        <f>AE127/$AF$124</f>
        <v>465.44730410949273</v>
      </c>
      <c r="AG127" s="91">
        <f>AF127*(1+$AG$124)</f>
        <v>558.5367649313913</v>
      </c>
      <c r="AJ127" s="13" t="s">
        <v>33</v>
      </c>
      <c r="AL127" s="84">
        <v>19422.484017989067</v>
      </c>
      <c r="AM127" s="85">
        <v>0.3</v>
      </c>
      <c r="AN127" s="85">
        <v>0.3</v>
      </c>
      <c r="AO127" s="86">
        <v>0.2</v>
      </c>
      <c r="AP127" s="87">
        <v>0.05</v>
      </c>
      <c r="AQ127" s="87">
        <v>0.1</v>
      </c>
      <c r="AR127" s="87">
        <v>0.02</v>
      </c>
      <c r="AS127" s="87">
        <v>0.02</v>
      </c>
      <c r="AT127" s="88">
        <v>0.01</v>
      </c>
      <c r="AU127" s="89">
        <f>SUMPRODUCT($AM$124:$AT$124,AM127:AT127)</f>
        <v>15.1</v>
      </c>
      <c r="AV127" s="90">
        <f>(SUMPRODUCT($AM$124:$AT$124,AM127:AT127))*$AV$124*AL127</f>
        <v>58655.901734326981</v>
      </c>
      <c r="AW127" s="90">
        <f>AV127/$AW$124</f>
        <v>977.59836223878301</v>
      </c>
      <c r="AX127" s="91">
        <f>AW127*(1+$AX$124)</f>
        <v>1173.1180346865397</v>
      </c>
    </row>
    <row r="128" spans="2:50" ht="15.75" customHeight="1" x14ac:dyDescent="0.25">
      <c r="B128" s="13" t="s">
        <v>1</v>
      </c>
      <c r="D128" s="84">
        <v>44178.739645484944</v>
      </c>
      <c r="E128" s="87">
        <v>0.05</v>
      </c>
      <c r="F128" s="92">
        <v>0.15</v>
      </c>
      <c r="G128" s="87">
        <v>0.15</v>
      </c>
      <c r="H128" s="87">
        <v>0.25</v>
      </c>
      <c r="I128" s="87">
        <v>0.22</v>
      </c>
      <c r="J128" s="87">
        <v>0.1</v>
      </c>
      <c r="K128" s="87">
        <v>0.05</v>
      </c>
      <c r="L128" s="88">
        <v>0.03</v>
      </c>
      <c r="M128" s="89">
        <f>SUMPRODUCT($E$124:$L$124,E128:L128)</f>
        <v>43.924999999999997</v>
      </c>
      <c r="N128" s="90">
        <f>(SUMPRODUCT($E$124:$L$124,E128:L128))*$N$124*D128</f>
        <v>388110.22778558522</v>
      </c>
      <c r="O128" s="90">
        <f>N128/$O$124</f>
        <v>6468.5037964264202</v>
      </c>
      <c r="P128" s="91">
        <f>O128*(1+$P$124)</f>
        <v>7762.2045557117035</v>
      </c>
      <c r="S128" s="13" t="s">
        <v>1</v>
      </c>
      <c r="U128" s="84">
        <v>59446.912066964534</v>
      </c>
      <c r="V128" s="87">
        <v>0.05</v>
      </c>
      <c r="W128" s="92">
        <v>0.15</v>
      </c>
      <c r="X128" s="87">
        <v>0.15</v>
      </c>
      <c r="Y128" s="87">
        <v>0.25</v>
      </c>
      <c r="Z128" s="87">
        <v>0.22</v>
      </c>
      <c r="AA128" s="87">
        <v>0.1</v>
      </c>
      <c r="AB128" s="87">
        <v>0.05</v>
      </c>
      <c r="AC128" s="88">
        <v>0.03</v>
      </c>
      <c r="AD128" s="89">
        <f>SUMPRODUCT($V$124:$AC$124,V128:AC128)</f>
        <v>43.924999999999997</v>
      </c>
      <c r="AE128" s="90">
        <f>(SUMPRODUCT($V$124:$AC$124,V128:AC128))*$AE$124*U128</f>
        <v>522241.12250828347</v>
      </c>
      <c r="AF128" s="90">
        <f>AE128/$AF$124</f>
        <v>8704.0187084713907</v>
      </c>
      <c r="AG128" s="91">
        <f>AF128*(1+$AG$124)</f>
        <v>10444.822450165668</v>
      </c>
      <c r="AJ128" s="13" t="s">
        <v>1</v>
      </c>
      <c r="AL128" s="84">
        <v>124858.82582992972</v>
      </c>
      <c r="AM128" s="87">
        <v>0.05</v>
      </c>
      <c r="AN128" s="92">
        <v>0.15</v>
      </c>
      <c r="AO128" s="87">
        <v>0.15</v>
      </c>
      <c r="AP128" s="87">
        <v>0.25</v>
      </c>
      <c r="AQ128" s="87">
        <v>0.22</v>
      </c>
      <c r="AR128" s="87">
        <v>0.1</v>
      </c>
      <c r="AS128" s="87">
        <v>0.05</v>
      </c>
      <c r="AT128" s="88">
        <v>0.03</v>
      </c>
      <c r="AU128" s="89">
        <f>SUMPRODUCT($AM$124:$AT$124,AM128:AT128)</f>
        <v>43.924999999999997</v>
      </c>
      <c r="AV128" s="90">
        <f>(SUMPRODUCT($AM$124:$AT$124,AM128:AT128))*$AV$124*AL128</f>
        <v>1096884.7849159327</v>
      </c>
      <c r="AW128" s="90">
        <f>AV128/$AW$124</f>
        <v>18281.413081932213</v>
      </c>
      <c r="AX128" s="91">
        <f>AW128*(1+$AX$124)</f>
        <v>21937.695698318654</v>
      </c>
    </row>
    <row r="129" spans="2:50" ht="15.75" customHeight="1" x14ac:dyDescent="0.25">
      <c r="B129" s="13" t="s">
        <v>0</v>
      </c>
      <c r="D129" s="84">
        <v>32888.617291638795</v>
      </c>
      <c r="E129" s="87">
        <v>0.2</v>
      </c>
      <c r="F129" s="92">
        <v>0.25</v>
      </c>
      <c r="G129" s="87">
        <v>0.3</v>
      </c>
      <c r="H129" s="87">
        <v>0.15</v>
      </c>
      <c r="I129" s="87">
        <v>0.05</v>
      </c>
      <c r="J129" s="87">
        <v>0.02</v>
      </c>
      <c r="K129" s="87">
        <v>0.02</v>
      </c>
      <c r="L129" s="88">
        <v>0.01</v>
      </c>
      <c r="M129" s="89">
        <f>SUMPRODUCT($E$124:$L$124,E129:L129)</f>
        <v>15.2</v>
      </c>
      <c r="N129" s="90">
        <f>(SUMPRODUCT($E$124:$L$124,E129:L129))*$N$124*D129</f>
        <v>99981.396566581941</v>
      </c>
      <c r="O129" s="90">
        <f>N129/$O$124</f>
        <v>1666.3566094430323</v>
      </c>
      <c r="P129" s="91">
        <f>O129*(1+$P$124)</f>
        <v>1999.6279313316386</v>
      </c>
      <c r="S129" s="13" t="s">
        <v>0</v>
      </c>
      <c r="U129" s="84">
        <v>44254.923427629161</v>
      </c>
      <c r="V129" s="87">
        <v>0.2</v>
      </c>
      <c r="W129" s="92">
        <v>0.25</v>
      </c>
      <c r="X129" s="87">
        <v>0.3</v>
      </c>
      <c r="Y129" s="87">
        <v>0.15</v>
      </c>
      <c r="Z129" s="87">
        <v>0.05</v>
      </c>
      <c r="AA129" s="87">
        <v>0.02</v>
      </c>
      <c r="AB129" s="87">
        <v>0.02</v>
      </c>
      <c r="AC129" s="88">
        <v>0.01</v>
      </c>
      <c r="AD129" s="89">
        <f>SUMPRODUCT($V$124:$AC$124,V129:AC129)</f>
        <v>15.2</v>
      </c>
      <c r="AE129" s="90">
        <f>(SUMPRODUCT($V$124:$AC$124,V129:AC129))*$AE$124*U129</f>
        <v>134534.96721999266</v>
      </c>
      <c r="AF129" s="90">
        <f>AE129/$AF$124</f>
        <v>2242.2494536665445</v>
      </c>
      <c r="AG129" s="91">
        <f>AF129*(1+$AG$124)</f>
        <v>2690.6993443998531</v>
      </c>
      <c r="AJ129" s="13" t="s">
        <v>0</v>
      </c>
      <c r="AL129" s="84">
        <v>92950.459228947686</v>
      </c>
      <c r="AM129" s="87">
        <v>0.2</v>
      </c>
      <c r="AN129" s="92">
        <v>0.25</v>
      </c>
      <c r="AO129" s="87">
        <v>0.3</v>
      </c>
      <c r="AP129" s="87">
        <v>0.15</v>
      </c>
      <c r="AQ129" s="87">
        <v>0.05</v>
      </c>
      <c r="AR129" s="87">
        <v>0.02</v>
      </c>
      <c r="AS129" s="87">
        <v>0.02</v>
      </c>
      <c r="AT129" s="88">
        <v>0.01</v>
      </c>
      <c r="AU129" s="89">
        <f>SUMPRODUCT($AM$124:$AT$124,AM129:AT129)</f>
        <v>15.2</v>
      </c>
      <c r="AV129" s="90">
        <f>(SUMPRODUCT($AM$124:$AT$124,AM129:AT129))*$AV$124*AL129</f>
        <v>282569.39605600096</v>
      </c>
      <c r="AW129" s="90">
        <f>AV129/$AW$124</f>
        <v>4709.4899342666822</v>
      </c>
      <c r="AX129" s="91">
        <f>AW129*(1+$AX$124)</f>
        <v>5651.3879211200183</v>
      </c>
    </row>
    <row r="130" spans="2:50" ht="15.75" customHeight="1" x14ac:dyDescent="0.25">
      <c r="B130" s="13" t="s">
        <v>34</v>
      </c>
      <c r="D130" s="84">
        <v>62341.11038862876</v>
      </c>
      <c r="E130" s="87">
        <v>0.05</v>
      </c>
      <c r="F130" s="92">
        <v>0.15</v>
      </c>
      <c r="G130" s="87">
        <v>0.2</v>
      </c>
      <c r="H130" s="87">
        <v>0.24</v>
      </c>
      <c r="I130" s="87">
        <v>0.15</v>
      </c>
      <c r="J130" s="87">
        <v>0.15</v>
      </c>
      <c r="K130" s="87">
        <v>0.05</v>
      </c>
      <c r="L130" s="88">
        <v>0.01</v>
      </c>
      <c r="M130" s="89">
        <f>SUMPRODUCT($E$124:$L$124,E130:L130)</f>
        <v>25.774999999999999</v>
      </c>
      <c r="N130" s="90">
        <f>(SUMPRODUCT($E$124:$L$124,E130:L130))*$N$124*D130</f>
        <v>321368.42405338126</v>
      </c>
      <c r="O130" s="90">
        <f>N130/$O$124</f>
        <v>5356.140400889688</v>
      </c>
      <c r="P130" s="91">
        <f>O130*(1+$P$124)</f>
        <v>6427.368481067625</v>
      </c>
      <c r="S130" s="13" t="s">
        <v>34</v>
      </c>
      <c r="U130" s="84">
        <v>83886.198138938853</v>
      </c>
      <c r="V130" s="87">
        <v>0.05</v>
      </c>
      <c r="W130" s="92">
        <v>0.15</v>
      </c>
      <c r="X130" s="87">
        <v>0.2</v>
      </c>
      <c r="Y130" s="87">
        <v>0.24</v>
      </c>
      <c r="Z130" s="87">
        <v>0.15</v>
      </c>
      <c r="AA130" s="87">
        <v>0.15</v>
      </c>
      <c r="AB130" s="87">
        <v>0.05</v>
      </c>
      <c r="AC130" s="88">
        <v>0.01</v>
      </c>
      <c r="AD130" s="89">
        <f>SUMPRODUCT($V$124:$AC$124,V130:AC130)</f>
        <v>25.774999999999999</v>
      </c>
      <c r="AE130" s="90">
        <f>(SUMPRODUCT($V$124:$AC$124,V130:AC130))*$AE$124*U130</f>
        <v>432433.35140622983</v>
      </c>
      <c r="AF130" s="90">
        <f>AE130/$AF$124</f>
        <v>7207.2225234371635</v>
      </c>
      <c r="AG130" s="91">
        <f>AF130*(1+$AG$124)</f>
        <v>8648.6670281245952</v>
      </c>
      <c r="AJ130" s="13" t="s">
        <v>34</v>
      </c>
      <c r="AL130" s="84">
        <v>176189.67644890083</v>
      </c>
      <c r="AM130" s="87">
        <v>0.05</v>
      </c>
      <c r="AN130" s="92">
        <v>0.15</v>
      </c>
      <c r="AO130" s="87">
        <v>0.2</v>
      </c>
      <c r="AP130" s="87">
        <v>0.24</v>
      </c>
      <c r="AQ130" s="87">
        <v>0.15</v>
      </c>
      <c r="AR130" s="87">
        <v>0.15</v>
      </c>
      <c r="AS130" s="87">
        <v>0.05</v>
      </c>
      <c r="AT130" s="88">
        <v>0.01</v>
      </c>
      <c r="AU130" s="89">
        <f>SUMPRODUCT($AM$124:$AT$124,AM130:AT130)</f>
        <v>25.774999999999999</v>
      </c>
      <c r="AV130" s="90">
        <f>(SUMPRODUCT($AM$124:$AT$124,AM130:AT130))*$AV$124*AL130</f>
        <v>908257.78209408384</v>
      </c>
      <c r="AW130" s="90">
        <f>AV130/$AW$124</f>
        <v>15137.629701568065</v>
      </c>
      <c r="AX130" s="91">
        <f>AW130*(1+$AX$124)</f>
        <v>18165.155641881676</v>
      </c>
    </row>
    <row r="131" spans="2:50" ht="15.75" customHeight="1" x14ac:dyDescent="0.25">
      <c r="B131" s="13" t="s">
        <v>35</v>
      </c>
      <c r="D131" s="84">
        <v>21107.620052842805</v>
      </c>
      <c r="E131" s="87">
        <v>0.12</v>
      </c>
      <c r="F131" s="92">
        <v>0.1</v>
      </c>
      <c r="G131" s="87">
        <v>0.1</v>
      </c>
      <c r="H131" s="87">
        <v>0.2</v>
      </c>
      <c r="I131" s="87">
        <v>0.3</v>
      </c>
      <c r="J131" s="87">
        <v>0.1</v>
      </c>
      <c r="K131" s="87">
        <v>0.05</v>
      </c>
      <c r="L131" s="88">
        <v>0.03</v>
      </c>
      <c r="M131" s="89">
        <f>SUMPRODUCT($E$124:$L$124,E131:L131)</f>
        <v>44.36</v>
      </c>
      <c r="N131" s="90">
        <f>(SUMPRODUCT($E$124:$L$124,E131:L131))*$N$124*D131</f>
        <v>187266.80510882137</v>
      </c>
      <c r="O131" s="90">
        <f>N131/$O$124</f>
        <v>3121.1134184803564</v>
      </c>
      <c r="P131" s="91">
        <f>O131*(1+$P$124)</f>
        <v>3745.3361021764276</v>
      </c>
      <c r="S131" s="13" t="s">
        <v>35</v>
      </c>
      <c r="U131" s="84">
        <v>28402.413543105278</v>
      </c>
      <c r="V131" s="87">
        <v>0.12</v>
      </c>
      <c r="W131" s="92">
        <v>0.1</v>
      </c>
      <c r="X131" s="87">
        <v>0.1</v>
      </c>
      <c r="Y131" s="87">
        <v>0.2</v>
      </c>
      <c r="Z131" s="87">
        <v>0.3</v>
      </c>
      <c r="AA131" s="87">
        <v>0.1</v>
      </c>
      <c r="AB131" s="87">
        <v>0.05</v>
      </c>
      <c r="AC131" s="88">
        <v>0.03</v>
      </c>
      <c r="AD131" s="89">
        <f>SUMPRODUCT($V$124:$AC$124,V131:AC131)</f>
        <v>44.36</v>
      </c>
      <c r="AE131" s="90">
        <f>(SUMPRODUCT($V$124:$AC$124,V131:AC131))*$AE$124*U131</f>
        <v>251986.21295443003</v>
      </c>
      <c r="AF131" s="90">
        <f>AE131/$AF$124</f>
        <v>4199.7702159071669</v>
      </c>
      <c r="AG131" s="91">
        <f>AF131*(1+$AG$124)</f>
        <v>5039.7242590885999</v>
      </c>
      <c r="AJ131" s="13" t="s">
        <v>35</v>
      </c>
      <c r="AL131" s="84">
        <v>59654.77234096641</v>
      </c>
      <c r="AM131" s="87">
        <v>0.12</v>
      </c>
      <c r="AN131" s="92">
        <v>0.1</v>
      </c>
      <c r="AO131" s="87">
        <v>0.1</v>
      </c>
      <c r="AP131" s="87">
        <v>0.2</v>
      </c>
      <c r="AQ131" s="87">
        <v>0.3</v>
      </c>
      <c r="AR131" s="87">
        <v>0.1</v>
      </c>
      <c r="AS131" s="87">
        <v>0.05</v>
      </c>
      <c r="AT131" s="88">
        <v>0.03</v>
      </c>
      <c r="AU131" s="89">
        <f>SUMPRODUCT($AM$124:$AT$124,AM131:AT131)</f>
        <v>44.36</v>
      </c>
      <c r="AV131" s="90">
        <f>(SUMPRODUCT($AM$124:$AT$124,AM131:AT131))*$AV$124*AL131</f>
        <v>529257.14020905399</v>
      </c>
      <c r="AW131" s="90">
        <f>AV131/$AW$124</f>
        <v>8820.9523368175669</v>
      </c>
      <c r="AX131" s="91">
        <f>AW131*(1+$AX$124)</f>
        <v>10585.14280418108</v>
      </c>
    </row>
    <row r="132" spans="2:50" ht="31.5" customHeight="1" x14ac:dyDescent="0.25">
      <c r="B132" s="13" t="s">
        <v>36</v>
      </c>
      <c r="D132" s="84">
        <v>17180.620973244146</v>
      </c>
      <c r="E132" s="87">
        <v>0.05</v>
      </c>
      <c r="F132" s="92">
        <v>0.2</v>
      </c>
      <c r="G132" s="87">
        <v>0.3</v>
      </c>
      <c r="H132" s="87">
        <v>0.15</v>
      </c>
      <c r="I132" s="87">
        <v>0.14000000000000001</v>
      </c>
      <c r="J132" s="87">
        <v>0.1</v>
      </c>
      <c r="K132" s="87">
        <v>0.05</v>
      </c>
      <c r="L132" s="88">
        <v>0.01</v>
      </c>
      <c r="M132" s="89">
        <f>SUMPRODUCT($E$124:$L$124,E132:L132)</f>
        <v>22.975000000000001</v>
      </c>
      <c r="N132" s="90">
        <f>(SUMPRODUCT($E$124:$L$124,E132:L132))*$N$124*D132</f>
        <v>78944.953372056858</v>
      </c>
      <c r="O132" s="90">
        <f>N132/$O$124</f>
        <v>1315.7492228676142</v>
      </c>
      <c r="P132" s="91">
        <f>O132*(1+$P$124)</f>
        <v>1578.899067441137</v>
      </c>
      <c r="S132" s="13" t="s">
        <v>36</v>
      </c>
      <c r="U132" s="84">
        <v>23118.243581597322</v>
      </c>
      <c r="V132" s="87">
        <v>0.05</v>
      </c>
      <c r="W132" s="92">
        <v>0.2</v>
      </c>
      <c r="X132" s="87">
        <v>0.3</v>
      </c>
      <c r="Y132" s="87">
        <v>0.15</v>
      </c>
      <c r="Z132" s="87">
        <v>0.14000000000000001</v>
      </c>
      <c r="AA132" s="87">
        <v>0.1</v>
      </c>
      <c r="AB132" s="87">
        <v>0.05</v>
      </c>
      <c r="AC132" s="88">
        <v>0.01</v>
      </c>
      <c r="AD132" s="89">
        <f>SUMPRODUCT($V$124:$AC$124,V132:AC132)</f>
        <v>22.975000000000001</v>
      </c>
      <c r="AE132" s="90">
        <f>(SUMPRODUCT($V$124:$AC$124,V132:AC132))*$AE$124*U132</f>
        <v>106228.32925743971</v>
      </c>
      <c r="AF132" s="90">
        <f>AE132/$AF$124</f>
        <v>1770.4721542906618</v>
      </c>
      <c r="AG132" s="91">
        <f>AF132*(1+$AG$124)</f>
        <v>2124.5665851487943</v>
      </c>
      <c r="AJ132" s="13" t="s">
        <v>36</v>
      </c>
      <c r="AL132" s="84">
        <v>48556.210044972664</v>
      </c>
      <c r="AM132" s="87">
        <v>0.05</v>
      </c>
      <c r="AN132" s="92">
        <v>0.2</v>
      </c>
      <c r="AO132" s="87">
        <v>0.3</v>
      </c>
      <c r="AP132" s="87">
        <v>0.15</v>
      </c>
      <c r="AQ132" s="87">
        <v>0.14000000000000001</v>
      </c>
      <c r="AR132" s="87">
        <v>0.1</v>
      </c>
      <c r="AS132" s="87">
        <v>0.05</v>
      </c>
      <c r="AT132" s="88">
        <v>0.01</v>
      </c>
      <c r="AU132" s="89">
        <f>SUMPRODUCT($AM$124:$AT$124,AM132:AT132)</f>
        <v>22.975000000000001</v>
      </c>
      <c r="AV132" s="90">
        <f>(SUMPRODUCT($AM$124:$AT$124,AM132:AT132))*$AV$124*AL132</f>
        <v>223115.78515664942</v>
      </c>
      <c r="AW132" s="90">
        <f>AV132/$AW$124</f>
        <v>3718.5964192774904</v>
      </c>
      <c r="AX132" s="91">
        <f>AW132*(1+$AX$124)</f>
        <v>4462.3157031329883</v>
      </c>
    </row>
    <row r="133" spans="2:50" ht="15.75" customHeight="1" x14ac:dyDescent="0.25">
      <c r="B133" s="13" t="s">
        <v>37</v>
      </c>
      <c r="D133" s="84">
        <v>23071.119592642139</v>
      </c>
      <c r="E133" s="87">
        <v>0.05</v>
      </c>
      <c r="F133" s="92">
        <v>0.1</v>
      </c>
      <c r="G133" s="87">
        <v>0.1</v>
      </c>
      <c r="H133" s="87">
        <v>0.15</v>
      </c>
      <c r="I133" s="87">
        <v>0.25</v>
      </c>
      <c r="J133" s="87">
        <v>0.16</v>
      </c>
      <c r="K133" s="87">
        <v>0.15</v>
      </c>
      <c r="L133" s="88">
        <v>0.04</v>
      </c>
      <c r="M133" s="89">
        <f>SUMPRODUCT($E$124:$L$124,E133:L133)</f>
        <v>66.575000000000003</v>
      </c>
      <c r="N133" s="90">
        <f>(SUMPRODUCT($E$124:$L$124,E133:L133))*$N$124*D133</f>
        <v>307191.9573760301</v>
      </c>
      <c r="O133" s="90">
        <f>N133/$O$124</f>
        <v>5119.8659562671683</v>
      </c>
      <c r="P133" s="91">
        <f>O133*(1+$P$124)</f>
        <v>6143.8391475206017</v>
      </c>
      <c r="S133" s="13" t="s">
        <v>37</v>
      </c>
      <c r="U133" s="84">
        <v>31044.49852385926</v>
      </c>
      <c r="V133" s="87">
        <v>0.05</v>
      </c>
      <c r="W133" s="92">
        <v>0.1</v>
      </c>
      <c r="X133" s="87">
        <v>0.1</v>
      </c>
      <c r="Y133" s="87">
        <v>0.15</v>
      </c>
      <c r="Z133" s="87">
        <v>0.25</v>
      </c>
      <c r="AA133" s="87">
        <v>0.16</v>
      </c>
      <c r="AB133" s="87">
        <v>0.15</v>
      </c>
      <c r="AC133" s="88">
        <v>0.04</v>
      </c>
      <c r="AD133" s="89">
        <f>SUMPRODUCT($V$124:$AC$124,V133:AC133)</f>
        <v>66.575000000000003</v>
      </c>
      <c r="AE133" s="90">
        <f>(SUMPRODUCT($V$124:$AC$124,V133:AC133))*$AE$124*U133</f>
        <v>413357.4978451861</v>
      </c>
      <c r="AF133" s="90">
        <f>AE133/$AF$124</f>
        <v>6889.2916307531013</v>
      </c>
      <c r="AG133" s="91">
        <f>AF133*(1+$AG$124)</f>
        <v>8267.1499569037205</v>
      </c>
      <c r="AJ133" s="13" t="s">
        <v>37</v>
      </c>
      <c r="AL133" s="84">
        <v>65204.053488963298</v>
      </c>
      <c r="AM133" s="87">
        <v>0.05</v>
      </c>
      <c r="AN133" s="92">
        <v>0.1</v>
      </c>
      <c r="AO133" s="87">
        <v>0.1</v>
      </c>
      <c r="AP133" s="87">
        <v>0.15</v>
      </c>
      <c r="AQ133" s="87">
        <v>0.25</v>
      </c>
      <c r="AR133" s="87">
        <v>0.16</v>
      </c>
      <c r="AS133" s="87">
        <v>0.15</v>
      </c>
      <c r="AT133" s="88">
        <v>0.04</v>
      </c>
      <c r="AU133" s="89">
        <f>SUMPRODUCT($AM$124:$AT$124,AM133:AT133)</f>
        <v>66.575000000000003</v>
      </c>
      <c r="AV133" s="90">
        <f>(SUMPRODUCT($AM$124:$AT$124,AM133:AT133))*$AV$124*AL133</f>
        <v>868191.97220554645</v>
      </c>
      <c r="AW133" s="90">
        <f>AV133/$AW$124</f>
        <v>14469.866203425774</v>
      </c>
      <c r="AX133" s="91">
        <f>AW133*(1+$AX$124)</f>
        <v>17363.839444110927</v>
      </c>
    </row>
    <row r="134" spans="2:50" ht="47.25" customHeight="1" x14ac:dyDescent="0.25">
      <c r="B134" s="13" t="s">
        <v>38</v>
      </c>
      <c r="D134" s="84">
        <v>18162.370743143812</v>
      </c>
      <c r="E134" s="87">
        <v>0.3</v>
      </c>
      <c r="F134" s="92">
        <v>0.25</v>
      </c>
      <c r="G134" s="87">
        <v>0.25</v>
      </c>
      <c r="H134" s="87">
        <v>0.1</v>
      </c>
      <c r="I134" s="87">
        <v>0.05</v>
      </c>
      <c r="J134" s="87">
        <v>0.02</v>
      </c>
      <c r="K134" s="87">
        <v>0.02</v>
      </c>
      <c r="L134" s="88">
        <v>0.01</v>
      </c>
      <c r="M134" s="89">
        <f>SUMPRODUCT($E$124:$L$124,E134:L134)</f>
        <v>14.9</v>
      </c>
      <c r="N134" s="90">
        <f>(SUMPRODUCT($E$124:$L$124,E134:L134))*$N$124*D134</f>
        <v>54123.864814568566</v>
      </c>
      <c r="O134" s="90">
        <f>N134/$O$124</f>
        <v>902.06441357614278</v>
      </c>
      <c r="P134" s="91">
        <f>O134*(1+$P$124)</f>
        <v>1082.4772962913712</v>
      </c>
      <c r="S134" s="13" t="s">
        <v>38</v>
      </c>
      <c r="U134" s="84">
        <v>24439.286071974311</v>
      </c>
      <c r="V134" s="87">
        <v>0.3</v>
      </c>
      <c r="W134" s="92">
        <v>0.25</v>
      </c>
      <c r="X134" s="87">
        <v>0.25</v>
      </c>
      <c r="Y134" s="87">
        <v>0.1</v>
      </c>
      <c r="Z134" s="87">
        <v>0.05</v>
      </c>
      <c r="AA134" s="87">
        <v>0.02</v>
      </c>
      <c r="AB134" s="87">
        <v>0.02</v>
      </c>
      <c r="AC134" s="88">
        <v>0.01</v>
      </c>
      <c r="AD134" s="89">
        <f>SUMPRODUCT($V$124:$AC$124,V134:AC134)</f>
        <v>14.9</v>
      </c>
      <c r="AE134" s="90">
        <f>(SUMPRODUCT($V$124:$AC$124,V134:AC134))*$AE$124*U134</f>
        <v>72829.072494483451</v>
      </c>
      <c r="AF134" s="90">
        <f>AE134/$AF$124</f>
        <v>1213.8178749080575</v>
      </c>
      <c r="AG134" s="91">
        <f>AF134*(1+$AG$124)</f>
        <v>1456.5814498896691</v>
      </c>
      <c r="AJ134" s="13" t="s">
        <v>38</v>
      </c>
      <c r="AL134" s="84">
        <v>51330.850618971112</v>
      </c>
      <c r="AM134" s="87">
        <v>0.3</v>
      </c>
      <c r="AN134" s="92">
        <v>0.25</v>
      </c>
      <c r="AO134" s="87">
        <v>0.25</v>
      </c>
      <c r="AP134" s="87">
        <v>0.1</v>
      </c>
      <c r="AQ134" s="87">
        <v>0.05</v>
      </c>
      <c r="AR134" s="87">
        <v>0.02</v>
      </c>
      <c r="AS134" s="87">
        <v>0.02</v>
      </c>
      <c r="AT134" s="88">
        <v>0.01</v>
      </c>
      <c r="AU134" s="89">
        <f>SUMPRODUCT($AM$124:$AT$124,AM134:AT134)</f>
        <v>14.9</v>
      </c>
      <c r="AV134" s="90">
        <f>(SUMPRODUCT($AM$124:$AT$124,AM134:AT134))*$AV$124*AL134</f>
        <v>152965.93484453394</v>
      </c>
      <c r="AW134" s="90">
        <f>AV134/$AW$124</f>
        <v>2549.432247408899</v>
      </c>
      <c r="AX134" s="91">
        <f>AW134*(1+$AX$124)</f>
        <v>3059.3186968906789</v>
      </c>
    </row>
    <row r="135" spans="2:50" ht="15.75" customHeight="1" x14ac:dyDescent="0.25">
      <c r="B135" s="13" t="s">
        <v>39</v>
      </c>
      <c r="D135" s="84">
        <v>38288.241026086951</v>
      </c>
      <c r="E135" s="87">
        <v>0.1</v>
      </c>
      <c r="F135" s="92">
        <v>0.12</v>
      </c>
      <c r="G135" s="87">
        <v>0.12</v>
      </c>
      <c r="H135" s="87">
        <v>0.1</v>
      </c>
      <c r="I135" s="87">
        <v>0.18</v>
      </c>
      <c r="J135" s="87">
        <v>0.2</v>
      </c>
      <c r="K135" s="87">
        <v>0.15</v>
      </c>
      <c r="L135" s="88">
        <v>0.03</v>
      </c>
      <c r="M135" s="89">
        <f>SUMPRODUCT($E$124:$L$124,E135:L135)</f>
        <v>57.71</v>
      </c>
      <c r="N135" s="90">
        <f>(SUMPRODUCT($E$124:$L$124,E135:L135))*$N$124*D135</f>
        <v>441922.87792309566</v>
      </c>
      <c r="O135" s="90">
        <f>N135/$O$124</f>
        <v>7365.381298718261</v>
      </c>
      <c r="P135" s="91">
        <f>O135*(1+$P$124)</f>
        <v>8838.4575584619124</v>
      </c>
      <c r="S135" s="13" t="s">
        <v>39</v>
      </c>
      <c r="U135" s="84">
        <v>51520.6571247026</v>
      </c>
      <c r="V135" s="87">
        <v>0.1</v>
      </c>
      <c r="W135" s="92">
        <v>0.12</v>
      </c>
      <c r="X135" s="87">
        <v>0.12</v>
      </c>
      <c r="Y135" s="87">
        <v>0.1</v>
      </c>
      <c r="Z135" s="87">
        <v>0.18</v>
      </c>
      <c r="AA135" s="87">
        <v>0.2</v>
      </c>
      <c r="AB135" s="87">
        <v>0.15</v>
      </c>
      <c r="AC135" s="88">
        <v>0.03</v>
      </c>
      <c r="AD135" s="89">
        <f>SUMPRODUCT($V$124:$AC$124,V135:AC135)</f>
        <v>57.71</v>
      </c>
      <c r="AE135" s="90">
        <f>(SUMPRODUCT($V$124:$AC$124,V135:AC135))*$AE$124*U135</f>
        <v>594651.42453331745</v>
      </c>
      <c r="AF135" s="90">
        <f>AE135/$AF$124</f>
        <v>9910.8570755552901</v>
      </c>
      <c r="AG135" s="91">
        <f>AF135*(1+$AG$124)</f>
        <v>11893.028490666347</v>
      </c>
      <c r="AJ135" s="13" t="s">
        <v>39</v>
      </c>
      <c r="AL135" s="84">
        <v>108210.98238593907</v>
      </c>
      <c r="AM135" s="87">
        <v>0.1</v>
      </c>
      <c r="AN135" s="92">
        <v>0.12</v>
      </c>
      <c r="AO135" s="87">
        <v>0.12</v>
      </c>
      <c r="AP135" s="87">
        <v>0.1</v>
      </c>
      <c r="AQ135" s="87">
        <v>0.18</v>
      </c>
      <c r="AR135" s="87">
        <v>0.2</v>
      </c>
      <c r="AS135" s="87">
        <v>0.15</v>
      </c>
      <c r="AT135" s="88">
        <v>0.03</v>
      </c>
      <c r="AU135" s="89">
        <f>SUMPRODUCT($AM$124:$AT$124,AM135:AT135)</f>
        <v>57.71</v>
      </c>
      <c r="AV135" s="90">
        <f>(SUMPRODUCT($AM$124:$AT$124,AM135:AT135))*$AV$124*AL135</f>
        <v>1248971.158698509</v>
      </c>
      <c r="AW135" s="90">
        <f>AV135/$AW$124</f>
        <v>20816.185978308484</v>
      </c>
      <c r="AX135" s="91">
        <f>AW135*(1+$AX$124)</f>
        <v>24979.423173970179</v>
      </c>
    </row>
    <row r="136" spans="2:50" ht="15.75" customHeight="1" x14ac:dyDescent="0.25">
      <c r="B136" s="13" t="s">
        <v>3</v>
      </c>
      <c r="D136" s="84">
        <v>79521.731361872909</v>
      </c>
      <c r="E136" s="87">
        <v>0.1</v>
      </c>
      <c r="F136" s="92">
        <v>0.15</v>
      </c>
      <c r="G136" s="87">
        <v>0.2</v>
      </c>
      <c r="H136" s="87">
        <v>0.18</v>
      </c>
      <c r="I136" s="87">
        <v>0.15</v>
      </c>
      <c r="J136" s="87">
        <v>0.1</v>
      </c>
      <c r="K136" s="87">
        <v>0.1</v>
      </c>
      <c r="L136" s="88">
        <v>0.02</v>
      </c>
      <c r="M136" s="89">
        <f>SUMPRODUCT($E$124:$L$124,E136:L136)</f>
        <v>38</v>
      </c>
      <c r="N136" s="90">
        <f>(SUMPRODUCT($E$124:$L$124,E136:L136))*$N$124*D136</f>
        <v>604365.15835023415</v>
      </c>
      <c r="O136" s="90">
        <f>N136/$O$124</f>
        <v>10072.752639170569</v>
      </c>
      <c r="P136" s="91">
        <f>O136*(1+$P$124)</f>
        <v>12087.303167004682</v>
      </c>
      <c r="S136" s="13" t="s">
        <v>3</v>
      </c>
      <c r="U136" s="84">
        <v>107004.44172053618</v>
      </c>
      <c r="V136" s="87">
        <v>0.1</v>
      </c>
      <c r="W136" s="92">
        <v>0.15</v>
      </c>
      <c r="X136" s="87">
        <v>0.2</v>
      </c>
      <c r="Y136" s="87">
        <v>0.18</v>
      </c>
      <c r="Z136" s="87">
        <v>0.15</v>
      </c>
      <c r="AA136" s="87">
        <v>0.1</v>
      </c>
      <c r="AB136" s="87">
        <v>0.1</v>
      </c>
      <c r="AC136" s="88">
        <v>0.02</v>
      </c>
      <c r="AD136" s="89">
        <f>SUMPRODUCT($V$124:$AC$124,V136:AC136)</f>
        <v>38</v>
      </c>
      <c r="AE136" s="90">
        <f>(SUMPRODUCT($V$124:$AC$124,V136:AC136))*$AE$124*U136</f>
        <v>813233.75707607507</v>
      </c>
      <c r="AF136" s="90">
        <f>AE136/$AF$124</f>
        <v>13553.895951267918</v>
      </c>
      <c r="AG136" s="91">
        <f>AF136*(1+$AG$124)</f>
        <v>16264.6751415215</v>
      </c>
      <c r="AJ136" s="13" t="s">
        <v>3</v>
      </c>
      <c r="AL136" s="84">
        <v>224745.88649387349</v>
      </c>
      <c r="AM136" s="87">
        <v>0.1</v>
      </c>
      <c r="AN136" s="92">
        <v>0.15</v>
      </c>
      <c r="AO136" s="87">
        <v>0.2</v>
      </c>
      <c r="AP136" s="87">
        <v>0.18</v>
      </c>
      <c r="AQ136" s="87">
        <v>0.15</v>
      </c>
      <c r="AR136" s="87">
        <v>0.1</v>
      </c>
      <c r="AS136" s="87">
        <v>0.1</v>
      </c>
      <c r="AT136" s="88">
        <v>0.02</v>
      </c>
      <c r="AU136" s="89">
        <f>SUMPRODUCT($AM$124:$AT$124,AM136:AT136)</f>
        <v>38</v>
      </c>
      <c r="AV136" s="90">
        <f>(SUMPRODUCT($AM$124:$AT$124,AM136:AT136))*$AV$124*AL136</f>
        <v>1708068.7373534387</v>
      </c>
      <c r="AW136" s="90">
        <f>AV136/$AW$124</f>
        <v>28467.812289223981</v>
      </c>
      <c r="AX136" s="91">
        <f>AW136*(1+$AX$124)</f>
        <v>34161.374747068774</v>
      </c>
    </row>
    <row r="137" spans="2:50" ht="31.5" customHeight="1" x14ac:dyDescent="0.25">
      <c r="B137" s="13" t="s">
        <v>40</v>
      </c>
      <c r="D137" s="84">
        <v>6872.2483892976579</v>
      </c>
      <c r="E137" s="87">
        <v>0.25</v>
      </c>
      <c r="F137" s="92">
        <v>0.2</v>
      </c>
      <c r="G137" s="87">
        <v>0.17</v>
      </c>
      <c r="H137" s="87">
        <v>0.15</v>
      </c>
      <c r="I137" s="87">
        <v>0.1</v>
      </c>
      <c r="J137" s="87">
        <v>0.1</v>
      </c>
      <c r="K137" s="87">
        <v>0.02</v>
      </c>
      <c r="L137" s="88">
        <v>0.01</v>
      </c>
      <c r="M137" s="89">
        <f>SUMPRODUCT($E$124:$L$124,E137:L137)</f>
        <v>19.414999999999999</v>
      </c>
      <c r="N137" s="90">
        <f>(SUMPRODUCT($E$124:$L$124,E137:L137))*$N$124*D137</f>
        <v>26684.940495642804</v>
      </c>
      <c r="O137" s="90">
        <f>N137/$O$124</f>
        <v>444.74900826071342</v>
      </c>
      <c r="P137" s="91">
        <f>O137*(1+$P$124)</f>
        <v>533.69880991285606</v>
      </c>
      <c r="S137" s="13" t="s">
        <v>40</v>
      </c>
      <c r="U137" s="84">
        <v>9247.2974326389285</v>
      </c>
      <c r="V137" s="87">
        <v>0.25</v>
      </c>
      <c r="W137" s="92">
        <v>0.2</v>
      </c>
      <c r="X137" s="87">
        <v>0.17</v>
      </c>
      <c r="Y137" s="87">
        <v>0.15</v>
      </c>
      <c r="Z137" s="87">
        <v>0.1</v>
      </c>
      <c r="AA137" s="87">
        <v>0.1</v>
      </c>
      <c r="AB137" s="87">
        <v>0.02</v>
      </c>
      <c r="AC137" s="88">
        <v>0.01</v>
      </c>
      <c r="AD137" s="89">
        <f>SUMPRODUCT($V$124:$AC$124,V137:AC137)</f>
        <v>19.414999999999999</v>
      </c>
      <c r="AE137" s="90">
        <f>(SUMPRODUCT($V$124:$AC$124,V137:AC137))*$AE$124*U137</f>
        <v>35907.255930936961</v>
      </c>
      <c r="AF137" s="90">
        <f>AE137/$AF$124</f>
        <v>598.45426551561604</v>
      </c>
      <c r="AG137" s="91">
        <f>AF137*(1+$AG$124)</f>
        <v>718.14511861873928</v>
      </c>
      <c r="AJ137" s="13" t="s">
        <v>40</v>
      </c>
      <c r="AL137" s="84">
        <v>19422.484017989067</v>
      </c>
      <c r="AM137" s="87">
        <v>0.25</v>
      </c>
      <c r="AN137" s="92">
        <v>0.2</v>
      </c>
      <c r="AO137" s="87">
        <v>0.17</v>
      </c>
      <c r="AP137" s="87">
        <v>0.15</v>
      </c>
      <c r="AQ137" s="87">
        <v>0.1</v>
      </c>
      <c r="AR137" s="87">
        <v>0.1</v>
      </c>
      <c r="AS137" s="87">
        <v>0.02</v>
      </c>
      <c r="AT137" s="88">
        <v>0.01</v>
      </c>
      <c r="AU137" s="89">
        <f>SUMPRODUCT($AM$124:$AT$124,AM137:AT137)</f>
        <v>19.414999999999999</v>
      </c>
      <c r="AV137" s="90">
        <f>(SUMPRODUCT($AM$124:$AT$124,AM137:AT137))*$AV$124*AL137</f>
        <v>75417.50544185155</v>
      </c>
      <c r="AW137" s="90">
        <f>AV137/$AW$124</f>
        <v>1256.9584240308591</v>
      </c>
      <c r="AX137" s="91">
        <f>AW137*(1+$AX$124)</f>
        <v>1508.3501088370308</v>
      </c>
    </row>
    <row r="138" spans="2:50" ht="15.75" customHeight="1" x14ac:dyDescent="0.25">
      <c r="B138" s="13" t="s">
        <v>2</v>
      </c>
      <c r="D138" s="84">
        <v>33379.492176588632</v>
      </c>
      <c r="E138" s="87">
        <v>0.3</v>
      </c>
      <c r="F138" s="92">
        <v>0.27</v>
      </c>
      <c r="G138" s="87">
        <v>0.2</v>
      </c>
      <c r="H138" s="87">
        <v>0.05</v>
      </c>
      <c r="I138" s="87">
        <v>0.1</v>
      </c>
      <c r="J138" s="87">
        <v>0.05</v>
      </c>
      <c r="K138" s="87">
        <v>0.02</v>
      </c>
      <c r="L138" s="88">
        <v>0.01</v>
      </c>
      <c r="M138" s="89">
        <f>SUMPRODUCT($E$124:$L$124,E138:L138)</f>
        <v>16.57</v>
      </c>
      <c r="N138" s="90">
        <f>(SUMPRODUCT($E$124:$L$124,E138:L138))*$N$124*D138</f>
        <v>110619.63707321473</v>
      </c>
      <c r="O138" s="90">
        <f>N138/$O$124</f>
        <v>1843.6606178869122</v>
      </c>
      <c r="P138" s="91">
        <f>O138*(1+$P$124)</f>
        <v>2212.3927414642944</v>
      </c>
      <c r="S138" s="13" t="s">
        <v>2</v>
      </c>
      <c r="U138" s="84">
        <v>44915.444672817663</v>
      </c>
      <c r="V138" s="87">
        <v>0.3</v>
      </c>
      <c r="W138" s="92">
        <v>0.27</v>
      </c>
      <c r="X138" s="87">
        <v>0.2</v>
      </c>
      <c r="Y138" s="87">
        <v>0.05</v>
      </c>
      <c r="Z138" s="87">
        <v>0.1</v>
      </c>
      <c r="AA138" s="87">
        <v>0.05</v>
      </c>
      <c r="AB138" s="87">
        <v>0.02</v>
      </c>
      <c r="AC138" s="88">
        <v>0.01</v>
      </c>
      <c r="AD138" s="89">
        <f>SUMPRODUCT($V$124:$AC$124,V138:AC138)</f>
        <v>16.57</v>
      </c>
      <c r="AE138" s="90">
        <f>(SUMPRODUCT($V$124:$AC$124,V138:AC138))*$AE$124*U138</f>
        <v>148849.78364571775</v>
      </c>
      <c r="AF138" s="90">
        <f>AE138/$AF$124</f>
        <v>2480.8297274286292</v>
      </c>
      <c r="AG138" s="91">
        <f>AF138*(1+$AG$124)</f>
        <v>2976.9956729143551</v>
      </c>
      <c r="AJ138" s="13" t="s">
        <v>2</v>
      </c>
      <c r="AL138" s="84">
        <v>94337.77951594691</v>
      </c>
      <c r="AM138" s="87">
        <v>0.3</v>
      </c>
      <c r="AN138" s="92">
        <v>0.27</v>
      </c>
      <c r="AO138" s="87">
        <v>0.2</v>
      </c>
      <c r="AP138" s="87">
        <v>0.05</v>
      </c>
      <c r="AQ138" s="87">
        <v>0.1</v>
      </c>
      <c r="AR138" s="87">
        <v>0.05</v>
      </c>
      <c r="AS138" s="87">
        <v>0.02</v>
      </c>
      <c r="AT138" s="88">
        <v>0.01</v>
      </c>
      <c r="AU138" s="89">
        <f>SUMPRODUCT($AM$124:$AT$124,AM138:AT138)</f>
        <v>16.57</v>
      </c>
      <c r="AV138" s="90">
        <f>(SUMPRODUCT($AM$124:$AT$124,AM138:AT138))*$AV$124*AL138</f>
        <v>312635.40131584805</v>
      </c>
      <c r="AW138" s="90">
        <f>AV138/$AW$124</f>
        <v>5210.5900219308005</v>
      </c>
      <c r="AX138" s="91">
        <f>AW138*(1+$AX$124)</f>
        <v>6252.7080263169601</v>
      </c>
    </row>
    <row r="139" spans="2:50" ht="15.75" customHeight="1" x14ac:dyDescent="0.25">
      <c r="B139" s="13" t="s">
        <v>41</v>
      </c>
      <c r="D139" s="84">
        <v>21107.620052842805</v>
      </c>
      <c r="E139" s="87">
        <v>0.1</v>
      </c>
      <c r="F139" s="92">
        <v>0.14000000000000001</v>
      </c>
      <c r="G139" s="87">
        <v>0.15</v>
      </c>
      <c r="H139" s="87">
        <v>0.2</v>
      </c>
      <c r="I139" s="87">
        <v>0.25</v>
      </c>
      <c r="J139" s="87">
        <v>0.1</v>
      </c>
      <c r="K139" s="87">
        <v>0.05</v>
      </c>
      <c r="L139" s="88">
        <v>0.01</v>
      </c>
      <c r="M139" s="89">
        <f>SUMPRODUCT($E$124:$L$124,E139:L139)</f>
        <v>23.990000000000002</v>
      </c>
      <c r="N139" s="90">
        <f>(SUMPRODUCT($E$124:$L$124,E139:L139))*$N$124*D139</f>
        <v>101274.3610135398</v>
      </c>
      <c r="O139" s="90">
        <f>N139/$O$124</f>
        <v>1687.9060168923302</v>
      </c>
      <c r="P139" s="91">
        <f>O139*(1+$P$124)</f>
        <v>2025.4872202707961</v>
      </c>
      <c r="S139" s="13" t="s">
        <v>41</v>
      </c>
      <c r="U139" s="84">
        <v>28402.413543105278</v>
      </c>
      <c r="V139" s="87">
        <v>0.1</v>
      </c>
      <c r="W139" s="92">
        <v>0.14000000000000001</v>
      </c>
      <c r="X139" s="87">
        <v>0.15</v>
      </c>
      <c r="Y139" s="87">
        <v>0.2</v>
      </c>
      <c r="Z139" s="87">
        <v>0.25</v>
      </c>
      <c r="AA139" s="87">
        <v>0.1</v>
      </c>
      <c r="AB139" s="87">
        <v>0.05</v>
      </c>
      <c r="AC139" s="88">
        <v>0.01</v>
      </c>
      <c r="AD139" s="89">
        <f>SUMPRODUCT($V$124:$AC$124,V139:AC139)</f>
        <v>23.990000000000002</v>
      </c>
      <c r="AE139" s="90">
        <f>(SUMPRODUCT($V$124:$AC$124,V139:AC139))*$AE$124*U139</f>
        <v>136274.78017981915</v>
      </c>
      <c r="AF139" s="90">
        <f>AE139/$AF$124</f>
        <v>2271.2463363303191</v>
      </c>
      <c r="AG139" s="91">
        <f>AF139*(1+$AG$124)</f>
        <v>2725.4956035963828</v>
      </c>
      <c r="AJ139" s="13" t="s">
        <v>41</v>
      </c>
      <c r="AL139" s="84">
        <v>59654.77234096641</v>
      </c>
      <c r="AM139" s="87">
        <v>0.1</v>
      </c>
      <c r="AN139" s="92">
        <v>0.14000000000000001</v>
      </c>
      <c r="AO139" s="87">
        <v>0.15</v>
      </c>
      <c r="AP139" s="87">
        <v>0.2</v>
      </c>
      <c r="AQ139" s="87">
        <v>0.25</v>
      </c>
      <c r="AR139" s="87">
        <v>0.1</v>
      </c>
      <c r="AS139" s="87">
        <v>0.05</v>
      </c>
      <c r="AT139" s="88">
        <v>0.01</v>
      </c>
      <c r="AU139" s="89">
        <f>SUMPRODUCT($AM$124:$AT$124,AM139:AT139)</f>
        <v>23.990000000000002</v>
      </c>
      <c r="AV139" s="90">
        <f>(SUMPRODUCT($AM$124:$AT$124,AM139:AT139))*$AV$124*AL139</f>
        <v>286223.59769195691</v>
      </c>
      <c r="AW139" s="90">
        <f>AV139/$AW$124</f>
        <v>4770.3932948659485</v>
      </c>
      <c r="AX139" s="91">
        <f>AW139*(1+$AX$124)</f>
        <v>5724.4719538391382</v>
      </c>
    </row>
    <row r="140" spans="2:50" ht="15.75" customHeight="1" x14ac:dyDescent="0.25">
      <c r="B140" s="13" t="s">
        <v>42</v>
      </c>
      <c r="D140" s="84">
        <v>31906.867521739128</v>
      </c>
      <c r="E140" s="87">
        <v>0.1</v>
      </c>
      <c r="F140" s="92">
        <v>0.15</v>
      </c>
      <c r="G140" s="87">
        <v>0.2</v>
      </c>
      <c r="H140" s="87">
        <v>0.22</v>
      </c>
      <c r="I140" s="87">
        <v>0.2</v>
      </c>
      <c r="J140" s="87">
        <v>0.1</v>
      </c>
      <c r="K140" s="87">
        <v>0.02</v>
      </c>
      <c r="L140" s="88">
        <v>0.01</v>
      </c>
      <c r="M140" s="89">
        <f>SUMPRODUCT($E$124:$L$124,E140:L140)</f>
        <v>20.7</v>
      </c>
      <c r="N140" s="90">
        <f>(SUMPRODUCT($E$124:$L$124,E140:L140))*$N$124*D140</f>
        <v>132094.43153999999</v>
      </c>
      <c r="O140" s="90">
        <f>N140/$O$124</f>
        <v>2201.5738589999996</v>
      </c>
      <c r="P140" s="91">
        <f>O140*(1+$P$124)</f>
        <v>2641.8886307999996</v>
      </c>
      <c r="S140" s="13" t="s">
        <v>42</v>
      </c>
      <c r="U140" s="84">
        <v>42933.880937252165</v>
      </c>
      <c r="V140" s="87">
        <v>0.1</v>
      </c>
      <c r="W140" s="92">
        <v>0.15</v>
      </c>
      <c r="X140" s="87">
        <v>0.2</v>
      </c>
      <c r="Y140" s="87">
        <v>0.22</v>
      </c>
      <c r="Z140" s="87">
        <v>0.2</v>
      </c>
      <c r="AA140" s="87">
        <v>0.1</v>
      </c>
      <c r="AB140" s="87">
        <v>0.02</v>
      </c>
      <c r="AC140" s="88">
        <v>0.01</v>
      </c>
      <c r="AD140" s="89">
        <f>SUMPRODUCT($V$124:$AC$124,V140:AC140)</f>
        <v>20.7</v>
      </c>
      <c r="AE140" s="90">
        <f>(SUMPRODUCT($V$124:$AC$124,V140:AC140))*$AE$124*U140</f>
        <v>177746.26708022394</v>
      </c>
      <c r="AF140" s="90">
        <f>AE140/$AF$124</f>
        <v>2962.4377846703992</v>
      </c>
      <c r="AG140" s="91">
        <f>AF140*(1+$AG$124)</f>
        <v>3554.9253416044789</v>
      </c>
      <c r="AJ140" s="13" t="s">
        <v>42</v>
      </c>
      <c r="AL140" s="84">
        <v>90175.818654949238</v>
      </c>
      <c r="AM140" s="87">
        <v>0.1</v>
      </c>
      <c r="AN140" s="92">
        <v>0.15</v>
      </c>
      <c r="AO140" s="87">
        <v>0.2</v>
      </c>
      <c r="AP140" s="87">
        <v>0.22</v>
      </c>
      <c r="AQ140" s="87">
        <v>0.2</v>
      </c>
      <c r="AR140" s="87">
        <v>0.1</v>
      </c>
      <c r="AS140" s="87">
        <v>0.02</v>
      </c>
      <c r="AT140" s="88">
        <v>0.01</v>
      </c>
      <c r="AU140" s="89">
        <f>SUMPRODUCT($AM$124:$AT$124,AM140:AT140)</f>
        <v>20.7</v>
      </c>
      <c r="AV140" s="90">
        <f>(SUMPRODUCT($AM$124:$AT$124,AM140:AT140))*$AV$124*AL140</f>
        <v>373327.8892314898</v>
      </c>
      <c r="AW140" s="90">
        <f>AV140/$AW$124</f>
        <v>6222.1314871914965</v>
      </c>
      <c r="AX140" s="91">
        <f>AW140*(1+$AX$124)</f>
        <v>7466.5577846297956</v>
      </c>
    </row>
    <row r="141" spans="2:50" ht="15.75" customHeight="1" x14ac:dyDescent="0.25">
      <c r="B141" s="13" t="s">
        <v>43</v>
      </c>
      <c r="D141" s="84">
        <v>387996.91505016718</v>
      </c>
      <c r="E141" s="87">
        <v>0.05</v>
      </c>
      <c r="F141" s="92">
        <v>0.05</v>
      </c>
      <c r="G141" s="87">
        <v>0.1</v>
      </c>
      <c r="H141" s="87">
        <v>0.1</v>
      </c>
      <c r="I141" s="87">
        <v>0.15</v>
      </c>
      <c r="J141" s="87">
        <v>0.2</v>
      </c>
      <c r="K141" s="87">
        <v>0.25</v>
      </c>
      <c r="L141" s="88">
        <v>0.1</v>
      </c>
      <c r="M141" s="89">
        <f>SUMPRODUCT($E$124:$L$124,E141:L141)</f>
        <v>137.27500000000001</v>
      </c>
      <c r="N141" s="90">
        <f>(SUMPRODUCT($E$124:$L$124,E141:L141))*$N$124*D141</f>
        <v>10652455.302702341</v>
      </c>
      <c r="O141" s="90">
        <f>N141/$O$124</f>
        <v>177540.92171170568</v>
      </c>
      <c r="P141" s="91">
        <f>O141*(1+$P$124)</f>
        <v>213049.1060540468</v>
      </c>
      <c r="S141" s="13" t="s">
        <v>43</v>
      </c>
      <c r="U141" s="84">
        <v>399950.77277922217</v>
      </c>
      <c r="V141" s="87">
        <v>0.05</v>
      </c>
      <c r="W141" s="92">
        <v>0.05</v>
      </c>
      <c r="X141" s="87">
        <v>0.1</v>
      </c>
      <c r="Y141" s="87">
        <v>0.1</v>
      </c>
      <c r="Z141" s="87">
        <v>0.15</v>
      </c>
      <c r="AA141" s="87">
        <v>0.2</v>
      </c>
      <c r="AB141" s="87">
        <v>0.25</v>
      </c>
      <c r="AC141" s="88">
        <v>0.1</v>
      </c>
      <c r="AD141" s="89">
        <f>SUMPRODUCT($V$124:$AC$124,V141:AC141)</f>
        <v>137.27500000000001</v>
      </c>
      <c r="AE141" s="90">
        <f>(SUMPRODUCT($V$124:$AC$124,V141:AC141))*$AE$124*U141</f>
        <v>10980648.466653546</v>
      </c>
      <c r="AF141" s="90">
        <f>AE141/$AF$124</f>
        <v>183010.80777755909</v>
      </c>
      <c r="AG141" s="91">
        <f>AF141*(1+$AG$124)</f>
        <v>219612.96933307091</v>
      </c>
      <c r="AJ141" s="13" t="s">
        <v>43</v>
      </c>
      <c r="AL141" s="84">
        <v>426277.4416744248</v>
      </c>
      <c r="AM141" s="87">
        <v>0.05</v>
      </c>
      <c r="AN141" s="92">
        <v>0.05</v>
      </c>
      <c r="AO141" s="87">
        <v>0.1</v>
      </c>
      <c r="AP141" s="87">
        <v>0.1</v>
      </c>
      <c r="AQ141" s="87">
        <v>0.15</v>
      </c>
      <c r="AR141" s="87">
        <v>0.2</v>
      </c>
      <c r="AS141" s="87">
        <v>0.25</v>
      </c>
      <c r="AT141" s="88">
        <v>0.1</v>
      </c>
      <c r="AU141" s="89">
        <f>SUMPRODUCT($AM$124:$AT$124,AM141:AT141)</f>
        <v>137.27500000000001</v>
      </c>
      <c r="AV141" s="90">
        <f>(SUMPRODUCT($AM$124:$AT$124,AM141:AT141))*$AV$124*AL141</f>
        <v>11703447.161171334</v>
      </c>
      <c r="AW141" s="90">
        <f>AV141/$AW$124</f>
        <v>195057.45268618889</v>
      </c>
      <c r="AX141" s="91">
        <f>AW141*(1+$AX$124)</f>
        <v>234068.94322342667</v>
      </c>
    </row>
    <row r="142" spans="2:50" ht="15.75" customHeight="1" thickBot="1" x14ac:dyDescent="0.3">
      <c r="B142" s="103" t="s">
        <v>44</v>
      </c>
      <c r="D142" s="93">
        <v>9107.2602739726044</v>
      </c>
      <c r="E142" s="94">
        <v>0.05</v>
      </c>
      <c r="F142" s="94">
        <v>0.13</v>
      </c>
      <c r="G142" s="95">
        <v>0.2</v>
      </c>
      <c r="H142" s="95">
        <v>0.25</v>
      </c>
      <c r="I142" s="95">
        <v>0.2</v>
      </c>
      <c r="J142" s="95">
        <v>0.1</v>
      </c>
      <c r="K142" s="95">
        <v>0.05</v>
      </c>
      <c r="L142" s="96">
        <v>0.02</v>
      </c>
      <c r="M142" s="97">
        <f>SUMPRODUCT($E$124:$L$124,E142:L142)</f>
        <v>33.805</v>
      </c>
      <c r="N142" s="98">
        <f>(SUMPRODUCT($E$124:$L$124,E142:L142))*$N$124*D142</f>
        <v>61574.186712328781</v>
      </c>
      <c r="O142" s="98">
        <f>N142/$O$124</f>
        <v>1026.2364452054796</v>
      </c>
      <c r="P142" s="99">
        <f>O142*(1+$P$124)</f>
        <v>1231.4837342465755</v>
      </c>
      <c r="S142" s="103" t="s">
        <v>44</v>
      </c>
      <c r="U142" s="93">
        <v>9945.3559006849318</v>
      </c>
      <c r="V142" s="94">
        <v>0.05</v>
      </c>
      <c r="W142" s="94">
        <v>0.13</v>
      </c>
      <c r="X142" s="95">
        <v>0.2</v>
      </c>
      <c r="Y142" s="95">
        <v>0.25</v>
      </c>
      <c r="Z142" s="95">
        <v>0.2</v>
      </c>
      <c r="AA142" s="95">
        <v>0.1</v>
      </c>
      <c r="AB142" s="95">
        <v>0.05</v>
      </c>
      <c r="AC142" s="96">
        <v>0.02</v>
      </c>
      <c r="AD142" s="97">
        <f>SUMPRODUCT($V$124:$AC$124,V142:AC142)</f>
        <v>33.805</v>
      </c>
      <c r="AE142" s="98">
        <f>(SUMPRODUCT($V$124:$AC$124,V142:AC142))*$AE$124*U142</f>
        <v>67240.551244530827</v>
      </c>
      <c r="AF142" s="98">
        <f>AE142/$AF$124</f>
        <v>1120.6758540755138</v>
      </c>
      <c r="AG142" s="99">
        <f>AF142*(1+$AG$124)</f>
        <v>1344.8110248906166</v>
      </c>
      <c r="AJ142" s="103" t="s">
        <v>44</v>
      </c>
      <c r="AL142" s="93">
        <v>12453.136598162797</v>
      </c>
      <c r="AM142" s="94">
        <v>0.05</v>
      </c>
      <c r="AN142" s="94">
        <v>0.13</v>
      </c>
      <c r="AO142" s="95">
        <v>0.2</v>
      </c>
      <c r="AP142" s="95">
        <v>0.25</v>
      </c>
      <c r="AQ142" s="95">
        <v>0.2</v>
      </c>
      <c r="AR142" s="95">
        <v>0.1</v>
      </c>
      <c r="AS142" s="95">
        <v>0.05</v>
      </c>
      <c r="AT142" s="96">
        <v>0.02</v>
      </c>
      <c r="AU142" s="97">
        <f>SUMPRODUCT($AM$124:$AT$124,AM142:AT142)</f>
        <v>33.805</v>
      </c>
      <c r="AV142" s="98">
        <f>(SUMPRODUCT($AM$124:$AT$124,AM142:AT142))*$AV$124*AL142</f>
        <v>84195.656540178665</v>
      </c>
      <c r="AW142" s="98">
        <f>AV142/$AW$124</f>
        <v>1403.260942336311</v>
      </c>
      <c r="AX142" s="99">
        <f>AW142*(1+$AX$124)</f>
        <v>1683.9131308035733</v>
      </c>
    </row>
    <row r="143" spans="2:50" ht="15.75" customHeight="1" x14ac:dyDescent="0.25">
      <c r="B143" s="104" t="s">
        <v>182</v>
      </c>
      <c r="D143" s="100">
        <f>SUM(D126:D142)</f>
        <v>869816.68953082885</v>
      </c>
      <c r="M143" s="8"/>
      <c r="N143" s="100">
        <f>SUM(N126:N142)</f>
        <v>13694084.282831034</v>
      </c>
      <c r="O143" s="101">
        <f>N143/$O$124</f>
        <v>228234.7380471839</v>
      </c>
      <c r="P143" s="101">
        <f>O143*(1+$P$124)</f>
        <v>273881.68565662066</v>
      </c>
      <c r="S143" s="104" t="s">
        <v>182</v>
      </c>
      <c r="U143" s="100">
        <f>SUM(U126:U142)</f>
        <v>1045978.0877964279</v>
      </c>
      <c r="AD143" s="8"/>
      <c r="AE143" s="100">
        <f>SUM(AE126:AE142)</f>
        <v>15057850.747919137</v>
      </c>
      <c r="AF143" s="101">
        <f>AE143/$AF$124</f>
        <v>250964.17913198561</v>
      </c>
      <c r="AG143" s="101">
        <f>AF143*(1+$AG$124)</f>
        <v>301157.0149583827</v>
      </c>
      <c r="AJ143" s="104" t="s">
        <v>182</v>
      </c>
      <c r="AL143" s="100">
        <f>SUM(AL126:AL142)</f>
        <v>1774720.0146528359</v>
      </c>
      <c r="AU143" s="8"/>
      <c r="AV143" s="100">
        <f>SUM(AV126:AV142)</f>
        <v>20209932.484656505</v>
      </c>
      <c r="AW143" s="101">
        <f>AV143/$AW$124</f>
        <v>336832.20807760843</v>
      </c>
      <c r="AX143" s="101">
        <f>AW143*(1+$AX$124)</f>
        <v>404198.64969313011</v>
      </c>
    </row>
    <row r="144" spans="2:50" ht="15" customHeight="1" x14ac:dyDescent="0.25">
      <c r="M144" s="8"/>
      <c r="N144" s="8">
        <f>N143/D143</f>
        <v>15.743643974246455</v>
      </c>
      <c r="O144" s="8">
        <f>N144/$O$124</f>
        <v>0.26239406623744094</v>
      </c>
      <c r="P144" s="8">
        <f>O144*(1+$P$124)</f>
        <v>0.31487287948492909</v>
      </c>
      <c r="AD144" s="8"/>
      <c r="AE144" s="8">
        <f>AE143/U143</f>
        <v>14.395952385237491</v>
      </c>
      <c r="AF144" s="8">
        <f>AE144/$AF$124</f>
        <v>0.23993253975395817</v>
      </c>
      <c r="AG144" s="8">
        <f>AF144*(1+$AG$124)</f>
        <v>0.2879190477047498</v>
      </c>
      <c r="AU144" s="8"/>
      <c r="AV144" s="8">
        <f>AV143/AL143</f>
        <v>11.387673727570991</v>
      </c>
      <c r="AW144" s="8">
        <f>AV144/$AW$124</f>
        <v>0.1897945621261832</v>
      </c>
      <c r="AX144" s="8">
        <f>AW144*(1+$AX$124)</f>
        <v>0.22775347455141984</v>
      </c>
    </row>
    <row r="148" spans="2:50" ht="15" customHeight="1" x14ac:dyDescent="0.25">
      <c r="C148">
        <v>2023</v>
      </c>
      <c r="T148">
        <v>2025</v>
      </c>
      <c r="AK148">
        <v>2030</v>
      </c>
    </row>
    <row r="149" spans="2:50" ht="20.100000000000001" customHeight="1" x14ac:dyDescent="0.25">
      <c r="C149" s="102" t="s">
        <v>15</v>
      </c>
      <c r="T149" s="102" t="s">
        <v>15</v>
      </c>
      <c r="AK149" s="102" t="s">
        <v>15</v>
      </c>
    </row>
    <row r="150" spans="2:50" ht="15" customHeight="1" thickBot="1" x14ac:dyDescent="0.3"/>
    <row r="151" spans="2:50" ht="55.35" customHeight="1" thickBot="1" x14ac:dyDescent="0.3">
      <c r="B151" s="138" t="s">
        <v>5</v>
      </c>
      <c r="C151" s="8"/>
      <c r="D151" s="140" t="s">
        <v>46</v>
      </c>
      <c r="E151" s="142" t="s">
        <v>25</v>
      </c>
      <c r="F151" s="143"/>
      <c r="G151" s="143"/>
      <c r="H151" s="143"/>
      <c r="I151" s="143"/>
      <c r="J151" s="143"/>
      <c r="K151" s="143"/>
      <c r="L151" s="144"/>
      <c r="M151" s="145" t="s">
        <v>6</v>
      </c>
      <c r="N151" s="9" t="s">
        <v>7</v>
      </c>
      <c r="O151" s="9" t="s">
        <v>8</v>
      </c>
      <c r="P151" s="9" t="s">
        <v>9</v>
      </c>
      <c r="S151" s="138" t="s">
        <v>5</v>
      </c>
      <c r="T151" s="8"/>
      <c r="U151" s="140" t="s">
        <v>46</v>
      </c>
      <c r="V151" s="142" t="s">
        <v>25</v>
      </c>
      <c r="W151" s="143"/>
      <c r="X151" s="143"/>
      <c r="Y151" s="143"/>
      <c r="Z151" s="143"/>
      <c r="AA151" s="143"/>
      <c r="AB151" s="143"/>
      <c r="AC151" s="144"/>
      <c r="AD151" s="145" t="s">
        <v>6</v>
      </c>
      <c r="AE151" s="9" t="s">
        <v>7</v>
      </c>
      <c r="AF151" s="9" t="s">
        <v>8</v>
      </c>
      <c r="AG151" s="9" t="s">
        <v>9</v>
      </c>
      <c r="AJ151" s="138" t="s">
        <v>5</v>
      </c>
      <c r="AK151" s="8"/>
      <c r="AL151" s="140" t="s">
        <v>46</v>
      </c>
      <c r="AM151" s="142" t="s">
        <v>25</v>
      </c>
      <c r="AN151" s="143"/>
      <c r="AO151" s="143"/>
      <c r="AP151" s="143"/>
      <c r="AQ151" s="143"/>
      <c r="AR151" s="143"/>
      <c r="AS151" s="143"/>
      <c r="AT151" s="144"/>
      <c r="AU151" s="145" t="s">
        <v>6</v>
      </c>
      <c r="AV151" s="9" t="s">
        <v>7</v>
      </c>
      <c r="AW151" s="9" t="s">
        <v>8</v>
      </c>
      <c r="AX151" s="9" t="s">
        <v>9</v>
      </c>
    </row>
    <row r="152" spans="2:50" ht="16.5" customHeight="1" thickBot="1" x14ac:dyDescent="0.3">
      <c r="B152" s="139"/>
      <c r="C152" s="8"/>
      <c r="D152" s="141"/>
      <c r="E152" s="10">
        <v>0.5</v>
      </c>
      <c r="F152" s="10">
        <v>1</v>
      </c>
      <c r="G152" s="10">
        <v>2</v>
      </c>
      <c r="H152" s="10">
        <v>5</v>
      </c>
      <c r="I152" s="10">
        <v>10</v>
      </c>
      <c r="J152" s="10">
        <v>50</v>
      </c>
      <c r="K152" s="10">
        <v>100</v>
      </c>
      <c r="L152" s="10">
        <v>1000</v>
      </c>
      <c r="M152" s="146"/>
      <c r="N152" s="59">
        <f>'Network Parameters'!$C$8</f>
        <v>0.2</v>
      </c>
      <c r="O152" s="60">
        <f>'Network Parameters'!$C$9</f>
        <v>60</v>
      </c>
      <c r="P152" s="61">
        <f>'Network Parameters'!$C$10</f>
        <v>0.2</v>
      </c>
      <c r="S152" s="139"/>
      <c r="T152" s="8"/>
      <c r="U152" s="141"/>
      <c r="V152" s="10">
        <v>0.5</v>
      </c>
      <c r="W152" s="10">
        <v>1</v>
      </c>
      <c r="X152" s="10">
        <v>2</v>
      </c>
      <c r="Y152" s="10">
        <v>5</v>
      </c>
      <c r="Z152" s="10">
        <v>10</v>
      </c>
      <c r="AA152" s="10">
        <v>50</v>
      </c>
      <c r="AB152" s="10">
        <v>100</v>
      </c>
      <c r="AC152" s="10">
        <v>1000</v>
      </c>
      <c r="AD152" s="146"/>
      <c r="AE152" s="59">
        <f>'Network Parameters'!$C$8</f>
        <v>0.2</v>
      </c>
      <c r="AF152" s="60">
        <f>'Network Parameters'!$C$9</f>
        <v>60</v>
      </c>
      <c r="AG152" s="61">
        <f>'Network Parameters'!$C$10</f>
        <v>0.2</v>
      </c>
      <c r="AJ152" s="139"/>
      <c r="AK152" s="8"/>
      <c r="AL152" s="141"/>
      <c r="AM152" s="10">
        <v>0.5</v>
      </c>
      <c r="AN152" s="10">
        <v>1</v>
      </c>
      <c r="AO152" s="10">
        <v>2</v>
      </c>
      <c r="AP152" s="10">
        <v>5</v>
      </c>
      <c r="AQ152" s="10">
        <v>10</v>
      </c>
      <c r="AR152" s="10">
        <v>50</v>
      </c>
      <c r="AS152" s="10">
        <v>100</v>
      </c>
      <c r="AT152" s="10">
        <v>1000</v>
      </c>
      <c r="AU152" s="146"/>
      <c r="AV152" s="59">
        <f>'Network Parameters'!$C$8</f>
        <v>0.2</v>
      </c>
      <c r="AW152" s="60">
        <f>'Network Parameters'!$C$9</f>
        <v>60</v>
      </c>
      <c r="AX152" s="61">
        <f>'Network Parameters'!$C$10</f>
        <v>0.2</v>
      </c>
    </row>
    <row r="153" spans="2:50" ht="15" customHeight="1" thickBot="1" x14ac:dyDescent="0.3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</row>
    <row r="154" spans="2:50" ht="41.25" customHeight="1" x14ac:dyDescent="0.25">
      <c r="B154" s="13" t="s">
        <v>32</v>
      </c>
      <c r="D154" s="77">
        <v>24799.563895652173</v>
      </c>
      <c r="E154" s="78">
        <v>0.3</v>
      </c>
      <c r="F154" s="78">
        <v>0.3</v>
      </c>
      <c r="G154" s="78">
        <v>0.25</v>
      </c>
      <c r="H154" s="79">
        <v>0.05</v>
      </c>
      <c r="I154" s="78">
        <v>0.05</v>
      </c>
      <c r="J154" s="78">
        <v>0.02</v>
      </c>
      <c r="K154" s="78">
        <v>0.02</v>
      </c>
      <c r="L154" s="80">
        <v>0.01</v>
      </c>
      <c r="M154" s="81">
        <f>SUMPRODUCT($E$152:$L$152,E154:L154)</f>
        <v>14.7</v>
      </c>
      <c r="N154" s="82">
        <f>(SUMPRODUCT($E$152:$L$152,E154:L154))*$N$152*D154</f>
        <v>72910.717853217386</v>
      </c>
      <c r="O154" s="82">
        <f>N154/$O$152</f>
        <v>1215.1786308869564</v>
      </c>
      <c r="P154" s="83">
        <f>O154*(1+$P$152)</f>
        <v>1458.2143570643477</v>
      </c>
      <c r="S154" s="13" t="s">
        <v>32</v>
      </c>
      <c r="U154" s="77">
        <v>33370.293177989559</v>
      </c>
      <c r="V154" s="78">
        <v>0.3</v>
      </c>
      <c r="W154" s="78">
        <v>0.3</v>
      </c>
      <c r="X154" s="78">
        <v>0.25</v>
      </c>
      <c r="Y154" s="79">
        <v>0.05</v>
      </c>
      <c r="Z154" s="78">
        <v>0.05</v>
      </c>
      <c r="AA154" s="78">
        <v>0.02</v>
      </c>
      <c r="AB154" s="78">
        <v>0.02</v>
      </c>
      <c r="AC154" s="80">
        <v>0.01</v>
      </c>
      <c r="AD154" s="81">
        <f>SUMPRODUCT($V$152:$AC$152,V154:AC154)</f>
        <v>14.7</v>
      </c>
      <c r="AE154" s="82">
        <f>(SUMPRODUCT($V$152:$AC$152,V154:AC154))*$AE$152*U154</f>
        <v>98108.661943289306</v>
      </c>
      <c r="AF154" s="82">
        <f>AE154/$AF$152</f>
        <v>1635.1443657214884</v>
      </c>
      <c r="AG154" s="83">
        <f>AF154*(1+$AG$152)</f>
        <v>1962.1732388657861</v>
      </c>
      <c r="AJ154" s="13" t="s">
        <v>32</v>
      </c>
      <c r="AL154" s="77">
        <v>70089.016888056547</v>
      </c>
      <c r="AM154" s="78">
        <v>0.3</v>
      </c>
      <c r="AN154" s="78">
        <v>0.3</v>
      </c>
      <c r="AO154" s="78">
        <v>0.25</v>
      </c>
      <c r="AP154" s="79">
        <v>0.05</v>
      </c>
      <c r="AQ154" s="78">
        <v>0.05</v>
      </c>
      <c r="AR154" s="78">
        <v>0.02</v>
      </c>
      <c r="AS154" s="78">
        <v>0.02</v>
      </c>
      <c r="AT154" s="80">
        <v>0.01</v>
      </c>
      <c r="AU154" s="81">
        <f>SUMPRODUCT($AM$152:$AT$152,AM154:AT154)</f>
        <v>14.7</v>
      </c>
      <c r="AV154" s="82">
        <f>(SUMPRODUCT($AM$152:$AT$152,AM154:AT154))*$AV$152*AL154</f>
        <v>206061.70965088625</v>
      </c>
      <c r="AW154" s="82">
        <f>AV154/$AW$152</f>
        <v>3434.3618275147705</v>
      </c>
      <c r="AX154" s="83">
        <f>AW154*(1+$AX$152)</f>
        <v>4121.2341930177245</v>
      </c>
    </row>
    <row r="155" spans="2:50" ht="15.75" customHeight="1" x14ac:dyDescent="0.25">
      <c r="B155" s="13" t="s">
        <v>33</v>
      </c>
      <c r="D155" s="84">
        <v>3295.0469511705687</v>
      </c>
      <c r="E155" s="85">
        <v>0.3</v>
      </c>
      <c r="F155" s="85">
        <v>0.3</v>
      </c>
      <c r="G155" s="86">
        <v>0.2</v>
      </c>
      <c r="H155" s="87">
        <v>0.05</v>
      </c>
      <c r="I155" s="87">
        <v>0.1</v>
      </c>
      <c r="J155" s="87">
        <v>0.02</v>
      </c>
      <c r="K155" s="87">
        <v>0.02</v>
      </c>
      <c r="L155" s="88">
        <v>0.01</v>
      </c>
      <c r="M155" s="89">
        <f>SUMPRODUCT($E$152:$L$152,E155:L155)</f>
        <v>15.1</v>
      </c>
      <c r="N155" s="90">
        <f>(SUMPRODUCT($E$152:$L$152,E155:L155))*$N$152*D155</f>
        <v>9951.0417925351176</v>
      </c>
      <c r="O155" s="90">
        <f>N155/$O$152</f>
        <v>165.85069654225197</v>
      </c>
      <c r="P155" s="91">
        <f>O155*(1+$P$152)</f>
        <v>199.02083585070235</v>
      </c>
      <c r="S155" s="13" t="s">
        <v>33</v>
      </c>
      <c r="U155" s="84">
        <v>4433.8151774951166</v>
      </c>
      <c r="V155" s="85">
        <v>0.3</v>
      </c>
      <c r="W155" s="85">
        <v>0.3</v>
      </c>
      <c r="X155" s="86">
        <v>0.2</v>
      </c>
      <c r="Y155" s="87">
        <v>0.05</v>
      </c>
      <c r="Z155" s="87">
        <v>0.1</v>
      </c>
      <c r="AA155" s="87">
        <v>0.02</v>
      </c>
      <c r="AB155" s="87">
        <v>0.02</v>
      </c>
      <c r="AC155" s="88">
        <v>0.01</v>
      </c>
      <c r="AD155" s="89">
        <f>SUMPRODUCT($V$152:$AC$152,V155:AC155)</f>
        <v>15.1</v>
      </c>
      <c r="AE155" s="90">
        <f>(SUMPRODUCT($V$152:$AC$152,V155:AC155))*$AE$152*U155</f>
        <v>13390.121836035252</v>
      </c>
      <c r="AF155" s="90">
        <f>AE155/$AF$152</f>
        <v>223.1686972672542</v>
      </c>
      <c r="AG155" s="91">
        <f>AF155*(1+$AG$152)</f>
        <v>267.80243672070503</v>
      </c>
      <c r="AJ155" s="13" t="s">
        <v>33</v>
      </c>
      <c r="AL155" s="84">
        <v>9312.52671939213</v>
      </c>
      <c r="AM155" s="85">
        <v>0.3</v>
      </c>
      <c r="AN155" s="85">
        <v>0.3</v>
      </c>
      <c r="AO155" s="86">
        <v>0.2</v>
      </c>
      <c r="AP155" s="87">
        <v>0.05</v>
      </c>
      <c r="AQ155" s="87">
        <v>0.1</v>
      </c>
      <c r="AR155" s="87">
        <v>0.02</v>
      </c>
      <c r="AS155" s="87">
        <v>0.02</v>
      </c>
      <c r="AT155" s="88">
        <v>0.01</v>
      </c>
      <c r="AU155" s="89">
        <f>SUMPRODUCT($AM$152:$AT$152,AM155:AT155)</f>
        <v>15.1</v>
      </c>
      <c r="AV155" s="90">
        <f>(SUMPRODUCT($AM$152:$AT$152,AM155:AT155))*$AV$152*AL155</f>
        <v>28123.830692564232</v>
      </c>
      <c r="AW155" s="90">
        <f>AV155/$AW$152</f>
        <v>468.73051154273719</v>
      </c>
      <c r="AX155" s="91">
        <f>AW155*(1+$AX$152)</f>
        <v>562.47661385128458</v>
      </c>
    </row>
    <row r="156" spans="2:50" ht="15.75" customHeight="1" x14ac:dyDescent="0.25">
      <c r="B156" s="13" t="s">
        <v>1</v>
      </c>
      <c r="D156" s="84">
        <v>4942.5704267558531</v>
      </c>
      <c r="E156" s="87">
        <v>0.05</v>
      </c>
      <c r="F156" s="92">
        <v>0.15</v>
      </c>
      <c r="G156" s="87">
        <v>0.15</v>
      </c>
      <c r="H156" s="87">
        <v>0.25</v>
      </c>
      <c r="I156" s="87">
        <v>0.22</v>
      </c>
      <c r="J156" s="87">
        <v>0.1</v>
      </c>
      <c r="K156" s="87">
        <v>0.05</v>
      </c>
      <c r="L156" s="88">
        <v>0.03</v>
      </c>
      <c r="M156" s="89">
        <f>SUMPRODUCT($E$152:$L$152,E156:L156)</f>
        <v>43.924999999999997</v>
      </c>
      <c r="N156" s="90">
        <f>(SUMPRODUCT($E$152:$L$152,E156:L156))*$N$152*D156</f>
        <v>43420.481199050169</v>
      </c>
      <c r="O156" s="90">
        <f>N156/$O$152</f>
        <v>723.67468665083618</v>
      </c>
      <c r="P156" s="91">
        <f>O156*(1+$P$152)</f>
        <v>868.40962398100339</v>
      </c>
      <c r="S156" s="13" t="s">
        <v>1</v>
      </c>
      <c r="U156" s="84">
        <v>6650.7227662426758</v>
      </c>
      <c r="V156" s="87">
        <v>0.05</v>
      </c>
      <c r="W156" s="92">
        <v>0.15</v>
      </c>
      <c r="X156" s="87">
        <v>0.15</v>
      </c>
      <c r="Y156" s="87">
        <v>0.25</v>
      </c>
      <c r="Z156" s="87">
        <v>0.22</v>
      </c>
      <c r="AA156" s="87">
        <v>0.1</v>
      </c>
      <c r="AB156" s="87">
        <v>0.05</v>
      </c>
      <c r="AC156" s="88">
        <v>0.03</v>
      </c>
      <c r="AD156" s="89">
        <f>SUMPRODUCT($V$152:$AC$152,V156:AC156)</f>
        <v>43.924999999999997</v>
      </c>
      <c r="AE156" s="90">
        <f>(SUMPRODUCT($V$152:$AC$152,V156:AC156))*$AE$152*U156</f>
        <v>58426.59950144191</v>
      </c>
      <c r="AF156" s="90">
        <f>AE156/$AF$152</f>
        <v>973.77665835736514</v>
      </c>
      <c r="AG156" s="91">
        <f>AF156*(1+$AG$152)</f>
        <v>1168.5319900288382</v>
      </c>
      <c r="AJ156" s="13" t="s">
        <v>1</v>
      </c>
      <c r="AL156" s="84">
        <v>13968.790079088196</v>
      </c>
      <c r="AM156" s="87">
        <v>0.05</v>
      </c>
      <c r="AN156" s="92">
        <v>0.15</v>
      </c>
      <c r="AO156" s="87">
        <v>0.15</v>
      </c>
      <c r="AP156" s="87">
        <v>0.25</v>
      </c>
      <c r="AQ156" s="87">
        <v>0.22</v>
      </c>
      <c r="AR156" s="87">
        <v>0.1</v>
      </c>
      <c r="AS156" s="87">
        <v>0.05</v>
      </c>
      <c r="AT156" s="88">
        <v>0.03</v>
      </c>
      <c r="AU156" s="89">
        <f>SUMPRODUCT($AM$152:$AT$152,AM156:AT156)</f>
        <v>43.924999999999997</v>
      </c>
      <c r="AV156" s="90">
        <f>(SUMPRODUCT($AM$152:$AT$152,AM156:AT156))*$AV$152*AL156</f>
        <v>122715.82084478981</v>
      </c>
      <c r="AW156" s="90">
        <f>AV156/$AW$152</f>
        <v>2045.2636807464967</v>
      </c>
      <c r="AX156" s="91">
        <f>AW156*(1+$AX$152)</f>
        <v>2454.316416895796</v>
      </c>
    </row>
    <row r="157" spans="2:50" ht="15.75" customHeight="1" x14ac:dyDescent="0.25">
      <c r="B157" s="13" t="s">
        <v>0</v>
      </c>
      <c r="D157" s="84">
        <v>3295.0469511705687</v>
      </c>
      <c r="E157" s="87">
        <v>0.2</v>
      </c>
      <c r="F157" s="92">
        <v>0.25</v>
      </c>
      <c r="G157" s="87">
        <v>0.3</v>
      </c>
      <c r="H157" s="87">
        <v>0.15</v>
      </c>
      <c r="I157" s="87">
        <v>0.05</v>
      </c>
      <c r="J157" s="87">
        <v>0.02</v>
      </c>
      <c r="K157" s="87">
        <v>0.02</v>
      </c>
      <c r="L157" s="88">
        <v>0.01</v>
      </c>
      <c r="M157" s="89">
        <f>SUMPRODUCT($E$152:$L$152,E157:L157)</f>
        <v>15.2</v>
      </c>
      <c r="N157" s="90">
        <f>(SUMPRODUCT($E$152:$L$152,E157:L157))*$N$152*D157</f>
        <v>10016.942731558529</v>
      </c>
      <c r="O157" s="90">
        <f>N157/$O$152</f>
        <v>166.94904552597549</v>
      </c>
      <c r="P157" s="91">
        <f>O157*(1+$P$152)</f>
        <v>200.33885463117059</v>
      </c>
      <c r="S157" s="13" t="s">
        <v>0</v>
      </c>
      <c r="U157" s="84">
        <v>4433.8151774951166</v>
      </c>
      <c r="V157" s="87">
        <v>0.2</v>
      </c>
      <c r="W157" s="92">
        <v>0.25</v>
      </c>
      <c r="X157" s="87">
        <v>0.3</v>
      </c>
      <c r="Y157" s="87">
        <v>0.15</v>
      </c>
      <c r="Z157" s="87">
        <v>0.05</v>
      </c>
      <c r="AA157" s="87">
        <v>0.02</v>
      </c>
      <c r="AB157" s="87">
        <v>0.02</v>
      </c>
      <c r="AC157" s="88">
        <v>0.01</v>
      </c>
      <c r="AD157" s="89">
        <f>SUMPRODUCT($V$152:$AC$152,V157:AC157)</f>
        <v>15.2</v>
      </c>
      <c r="AE157" s="90">
        <f>(SUMPRODUCT($V$152:$AC$152,V157:AC157))*$AE$152*U157</f>
        <v>13478.798139585155</v>
      </c>
      <c r="AF157" s="90">
        <f>AE157/$AF$152</f>
        <v>224.64663565975258</v>
      </c>
      <c r="AG157" s="91">
        <f>AF157*(1+$AG$152)</f>
        <v>269.57596279170309</v>
      </c>
      <c r="AJ157" s="13" t="s">
        <v>0</v>
      </c>
      <c r="AL157" s="84">
        <v>9312.52671939213</v>
      </c>
      <c r="AM157" s="87">
        <v>0.2</v>
      </c>
      <c r="AN157" s="92">
        <v>0.25</v>
      </c>
      <c r="AO157" s="87">
        <v>0.3</v>
      </c>
      <c r="AP157" s="87">
        <v>0.15</v>
      </c>
      <c r="AQ157" s="87">
        <v>0.05</v>
      </c>
      <c r="AR157" s="87">
        <v>0.02</v>
      </c>
      <c r="AS157" s="87">
        <v>0.02</v>
      </c>
      <c r="AT157" s="88">
        <v>0.01</v>
      </c>
      <c r="AU157" s="89">
        <f>SUMPRODUCT($AM$152:$AT$152,AM157:AT157)</f>
        <v>15.2</v>
      </c>
      <c r="AV157" s="90">
        <f>(SUMPRODUCT($AM$152:$AT$152,AM157:AT157))*$AV$152*AL157</f>
        <v>28310.081226952076</v>
      </c>
      <c r="AW157" s="90">
        <f>AV157/$AW$152</f>
        <v>471.83468711586795</v>
      </c>
      <c r="AX157" s="91">
        <f>AW157*(1+$AX$152)</f>
        <v>566.20162453904152</v>
      </c>
    </row>
    <row r="158" spans="2:50" ht="15.75" customHeight="1" x14ac:dyDescent="0.25">
      <c r="B158" s="13" t="s">
        <v>34</v>
      </c>
      <c r="D158" s="84">
        <v>9104.7349966555194</v>
      </c>
      <c r="E158" s="87">
        <v>0.05</v>
      </c>
      <c r="F158" s="92">
        <v>0.15</v>
      </c>
      <c r="G158" s="87">
        <v>0.2</v>
      </c>
      <c r="H158" s="87">
        <v>0.24</v>
      </c>
      <c r="I158" s="87">
        <v>0.15</v>
      </c>
      <c r="J158" s="87">
        <v>0.15</v>
      </c>
      <c r="K158" s="87">
        <v>0.05</v>
      </c>
      <c r="L158" s="88">
        <v>0.01</v>
      </c>
      <c r="M158" s="89">
        <f>SUMPRODUCT($E$152:$L$152,E158:L158)</f>
        <v>25.774999999999999</v>
      </c>
      <c r="N158" s="90">
        <f>(SUMPRODUCT($E$152:$L$152,E158:L158))*$N$152*D158</f>
        <v>46934.908907759207</v>
      </c>
      <c r="O158" s="90">
        <f>N158/$O$152</f>
        <v>782.24848179598678</v>
      </c>
      <c r="P158" s="91">
        <f>O158*(1+$P$152)</f>
        <v>938.69817815518411</v>
      </c>
      <c r="S158" s="13" t="s">
        <v>34</v>
      </c>
      <c r="U158" s="84">
        <v>12251.331411499667</v>
      </c>
      <c r="V158" s="87">
        <v>0.05</v>
      </c>
      <c r="W158" s="92">
        <v>0.15</v>
      </c>
      <c r="X158" s="87">
        <v>0.2</v>
      </c>
      <c r="Y158" s="87">
        <v>0.24</v>
      </c>
      <c r="Z158" s="87">
        <v>0.15</v>
      </c>
      <c r="AA158" s="87">
        <v>0.15</v>
      </c>
      <c r="AB158" s="87">
        <v>0.05</v>
      </c>
      <c r="AC158" s="88">
        <v>0.01</v>
      </c>
      <c r="AD158" s="89">
        <f>SUMPRODUCT($V$152:$AC$152,V158:AC158)</f>
        <v>25.774999999999999</v>
      </c>
      <c r="AE158" s="90">
        <f>(SUMPRODUCT($V$152:$AC$152,V158:AC158))*$AE$152*U158</f>
        <v>63155.613426280783</v>
      </c>
      <c r="AF158" s="90">
        <f>AE158/$AF$152</f>
        <v>1052.5935571046798</v>
      </c>
      <c r="AG158" s="91">
        <f>AF158*(1+$AG$152)</f>
        <v>1263.1122685256157</v>
      </c>
      <c r="AJ158" s="13" t="s">
        <v>34</v>
      </c>
      <c r="AL158" s="84">
        <v>25731.981724636149</v>
      </c>
      <c r="AM158" s="87">
        <v>0.05</v>
      </c>
      <c r="AN158" s="92">
        <v>0.15</v>
      </c>
      <c r="AO158" s="87">
        <v>0.2</v>
      </c>
      <c r="AP158" s="87">
        <v>0.24</v>
      </c>
      <c r="AQ158" s="87">
        <v>0.15</v>
      </c>
      <c r="AR158" s="87">
        <v>0.15</v>
      </c>
      <c r="AS158" s="87">
        <v>0.05</v>
      </c>
      <c r="AT158" s="88">
        <v>0.01</v>
      </c>
      <c r="AU158" s="89">
        <f>SUMPRODUCT($AM$152:$AT$152,AM158:AT158)</f>
        <v>25.774999999999999</v>
      </c>
      <c r="AV158" s="90">
        <f>(SUMPRODUCT($AM$152:$AT$152,AM158:AT158))*$AV$152*AL158</f>
        <v>132648.36579049935</v>
      </c>
      <c r="AW158" s="90">
        <f>AV158/$AW$152</f>
        <v>2210.8060965083223</v>
      </c>
      <c r="AX158" s="91">
        <f>AW158*(1+$AX$152)</f>
        <v>2652.9673158099868</v>
      </c>
    </row>
    <row r="159" spans="2:50" ht="15.75" customHeight="1" x14ac:dyDescent="0.25">
      <c r="B159" s="13" t="s">
        <v>35</v>
      </c>
      <c r="D159" s="84">
        <v>2514.641094314381</v>
      </c>
      <c r="E159" s="87">
        <v>0.12</v>
      </c>
      <c r="F159" s="92">
        <v>0.1</v>
      </c>
      <c r="G159" s="87">
        <v>0.1</v>
      </c>
      <c r="H159" s="87">
        <v>0.2</v>
      </c>
      <c r="I159" s="87">
        <v>0.3</v>
      </c>
      <c r="J159" s="87">
        <v>0.1</v>
      </c>
      <c r="K159" s="87">
        <v>0.05</v>
      </c>
      <c r="L159" s="88">
        <v>0.03</v>
      </c>
      <c r="M159" s="89">
        <f>SUMPRODUCT($E$152:$L$152,E159:L159)</f>
        <v>44.36</v>
      </c>
      <c r="N159" s="90">
        <f>(SUMPRODUCT($E$152:$L$152,E159:L159))*$N$152*D159</f>
        <v>22309.895788757189</v>
      </c>
      <c r="O159" s="90">
        <f>N159/$O$152</f>
        <v>371.83159647928647</v>
      </c>
      <c r="P159" s="91">
        <f>O159*(1+$P$152)</f>
        <v>446.19791577514377</v>
      </c>
      <c r="S159" s="13" t="s">
        <v>35</v>
      </c>
      <c r="U159" s="84">
        <v>3383.7010565094311</v>
      </c>
      <c r="V159" s="87">
        <v>0.12</v>
      </c>
      <c r="W159" s="92">
        <v>0.1</v>
      </c>
      <c r="X159" s="87">
        <v>0.1</v>
      </c>
      <c r="Y159" s="87">
        <v>0.2</v>
      </c>
      <c r="Z159" s="87">
        <v>0.3</v>
      </c>
      <c r="AA159" s="87">
        <v>0.1</v>
      </c>
      <c r="AB159" s="87">
        <v>0.05</v>
      </c>
      <c r="AC159" s="88">
        <v>0.03</v>
      </c>
      <c r="AD159" s="89">
        <f>SUMPRODUCT($V$152:$AC$152,V159:AC159)</f>
        <v>44.36</v>
      </c>
      <c r="AE159" s="90">
        <f>(SUMPRODUCT($V$152:$AC$152,V159:AC159))*$AE$152*U159</f>
        <v>30020.195773351672</v>
      </c>
      <c r="AF159" s="90">
        <f>AE159/$AF$152</f>
        <v>500.33659622252787</v>
      </c>
      <c r="AG159" s="91">
        <f>AF159*(1+$AG$152)</f>
        <v>600.40391546703347</v>
      </c>
      <c r="AJ159" s="13" t="s">
        <v>35</v>
      </c>
      <c r="AL159" s="84">
        <v>7106.9282858518873</v>
      </c>
      <c r="AM159" s="87">
        <v>0.12</v>
      </c>
      <c r="AN159" s="92">
        <v>0.1</v>
      </c>
      <c r="AO159" s="87">
        <v>0.1</v>
      </c>
      <c r="AP159" s="87">
        <v>0.2</v>
      </c>
      <c r="AQ159" s="87">
        <v>0.3</v>
      </c>
      <c r="AR159" s="87">
        <v>0.1</v>
      </c>
      <c r="AS159" s="87">
        <v>0.05</v>
      </c>
      <c r="AT159" s="88">
        <v>0.03</v>
      </c>
      <c r="AU159" s="89">
        <f>SUMPRODUCT($AM$152:$AT$152,AM159:AT159)</f>
        <v>44.36</v>
      </c>
      <c r="AV159" s="90">
        <f>(SUMPRODUCT($AM$152:$AT$152,AM159:AT159))*$AV$152*AL159</f>
        <v>63052.667752077941</v>
      </c>
      <c r="AW159" s="90">
        <f>AV159/$AW$152</f>
        <v>1050.8777958679657</v>
      </c>
      <c r="AX159" s="91">
        <f>AW159*(1+$AX$152)</f>
        <v>1261.0533550415587</v>
      </c>
    </row>
    <row r="160" spans="2:50" ht="31.5" customHeight="1" x14ac:dyDescent="0.25">
      <c r="B160" s="13" t="s">
        <v>36</v>
      </c>
      <c r="D160" s="84">
        <v>1734.2352374581942</v>
      </c>
      <c r="E160" s="87">
        <v>0.05</v>
      </c>
      <c r="F160" s="92">
        <v>0.2</v>
      </c>
      <c r="G160" s="87">
        <v>0.3</v>
      </c>
      <c r="H160" s="87">
        <v>0.15</v>
      </c>
      <c r="I160" s="87">
        <v>0.14000000000000001</v>
      </c>
      <c r="J160" s="87">
        <v>0.1</v>
      </c>
      <c r="K160" s="87">
        <v>0.05</v>
      </c>
      <c r="L160" s="88">
        <v>0.01</v>
      </c>
      <c r="M160" s="89">
        <f>SUMPRODUCT($E$152:$L$152,E160:L160)</f>
        <v>22.975000000000001</v>
      </c>
      <c r="N160" s="90">
        <f>(SUMPRODUCT($E$152:$L$152,E160:L160))*$N$152*D160</f>
        <v>7968.8109161204038</v>
      </c>
      <c r="O160" s="90">
        <f>N160/$O$152</f>
        <v>132.8135152686734</v>
      </c>
      <c r="P160" s="91">
        <f>O160*(1+$P$152)</f>
        <v>159.37621832240808</v>
      </c>
      <c r="S160" s="13" t="s">
        <v>36</v>
      </c>
      <c r="U160" s="84">
        <v>2333.586935523746</v>
      </c>
      <c r="V160" s="87">
        <v>0.05</v>
      </c>
      <c r="W160" s="92">
        <v>0.2</v>
      </c>
      <c r="X160" s="87">
        <v>0.3</v>
      </c>
      <c r="Y160" s="87">
        <v>0.15</v>
      </c>
      <c r="Z160" s="87">
        <v>0.14000000000000001</v>
      </c>
      <c r="AA160" s="87">
        <v>0.1</v>
      </c>
      <c r="AB160" s="87">
        <v>0.05</v>
      </c>
      <c r="AC160" s="88">
        <v>0.01</v>
      </c>
      <c r="AD160" s="89">
        <f>SUMPRODUCT($V$152:$AC$152,V160:AC160)</f>
        <v>22.975000000000001</v>
      </c>
      <c r="AE160" s="90">
        <f>(SUMPRODUCT($V$152:$AC$152,V160:AC160))*$AE$152*U160</f>
        <v>10722.831968731614</v>
      </c>
      <c r="AF160" s="90">
        <f>AE160/$AF$152</f>
        <v>178.71386614552691</v>
      </c>
      <c r="AG160" s="91">
        <f>AF160*(1+$AG$152)</f>
        <v>214.45663937463229</v>
      </c>
      <c r="AJ160" s="13" t="s">
        <v>36</v>
      </c>
      <c r="AL160" s="84">
        <v>4901.3298523116482</v>
      </c>
      <c r="AM160" s="87">
        <v>0.05</v>
      </c>
      <c r="AN160" s="92">
        <v>0.2</v>
      </c>
      <c r="AO160" s="87">
        <v>0.3</v>
      </c>
      <c r="AP160" s="87">
        <v>0.15</v>
      </c>
      <c r="AQ160" s="87">
        <v>0.14000000000000001</v>
      </c>
      <c r="AR160" s="87">
        <v>0.1</v>
      </c>
      <c r="AS160" s="87">
        <v>0.05</v>
      </c>
      <c r="AT160" s="88">
        <v>0.01</v>
      </c>
      <c r="AU160" s="89">
        <f>SUMPRODUCT($AM$152:$AT$152,AM160:AT160)</f>
        <v>22.975000000000001</v>
      </c>
      <c r="AV160" s="90">
        <f>(SUMPRODUCT($AM$152:$AT$152,AM160:AT160))*$AV$152*AL160</f>
        <v>22521.610671372026</v>
      </c>
      <c r="AW160" s="90">
        <f>AV160/$AW$152</f>
        <v>375.36017785620044</v>
      </c>
      <c r="AX160" s="91">
        <f>AW160*(1+$AX$152)</f>
        <v>450.4322134274405</v>
      </c>
    </row>
    <row r="161" spans="2:50" ht="15.75" customHeight="1" x14ac:dyDescent="0.25">
      <c r="B161" s="13" t="s">
        <v>37</v>
      </c>
      <c r="D161" s="84">
        <v>2167.7940468227425</v>
      </c>
      <c r="E161" s="87">
        <v>0.05</v>
      </c>
      <c r="F161" s="92">
        <v>0.1</v>
      </c>
      <c r="G161" s="87">
        <v>0.1</v>
      </c>
      <c r="H161" s="87">
        <v>0.15</v>
      </c>
      <c r="I161" s="87">
        <v>0.25</v>
      </c>
      <c r="J161" s="87">
        <v>0.16</v>
      </c>
      <c r="K161" s="87">
        <v>0.15</v>
      </c>
      <c r="L161" s="88">
        <v>0.04</v>
      </c>
      <c r="M161" s="89">
        <f>SUMPRODUCT($E$152:$L$152,E161:L161)</f>
        <v>66.575000000000003</v>
      </c>
      <c r="N161" s="90">
        <f>(SUMPRODUCT($E$152:$L$152,E161:L161))*$N$152*D161</f>
        <v>28864.17773344482</v>
      </c>
      <c r="O161" s="90">
        <f>N161/$O$152</f>
        <v>481.06962889074697</v>
      </c>
      <c r="P161" s="91">
        <f>O161*(1+$P$152)</f>
        <v>577.28355466889639</v>
      </c>
      <c r="S161" s="13" t="s">
        <v>37</v>
      </c>
      <c r="U161" s="84">
        <v>2916.9836694046821</v>
      </c>
      <c r="V161" s="87">
        <v>0.05</v>
      </c>
      <c r="W161" s="92">
        <v>0.1</v>
      </c>
      <c r="X161" s="87">
        <v>0.1</v>
      </c>
      <c r="Y161" s="87">
        <v>0.15</v>
      </c>
      <c r="Z161" s="87">
        <v>0.25</v>
      </c>
      <c r="AA161" s="87">
        <v>0.16</v>
      </c>
      <c r="AB161" s="87">
        <v>0.15</v>
      </c>
      <c r="AC161" s="88">
        <v>0.04</v>
      </c>
      <c r="AD161" s="89">
        <f>SUMPRODUCT($V$152:$AC$152,V161:AC161)</f>
        <v>66.575000000000003</v>
      </c>
      <c r="AE161" s="90">
        <f>(SUMPRODUCT($V$152:$AC$152,V161:AC161))*$AE$152*U161</f>
        <v>38839.637558123344</v>
      </c>
      <c r="AF161" s="90">
        <f>AE161/$AF$152</f>
        <v>647.32729263538909</v>
      </c>
      <c r="AG161" s="91">
        <f>AF161*(1+$AG$152)</f>
        <v>776.79275116246686</v>
      </c>
      <c r="AJ161" s="13" t="s">
        <v>37</v>
      </c>
      <c r="AL161" s="84">
        <v>6126.6623153895589</v>
      </c>
      <c r="AM161" s="87">
        <v>0.05</v>
      </c>
      <c r="AN161" s="92">
        <v>0.1</v>
      </c>
      <c r="AO161" s="87">
        <v>0.1</v>
      </c>
      <c r="AP161" s="87">
        <v>0.15</v>
      </c>
      <c r="AQ161" s="87">
        <v>0.25</v>
      </c>
      <c r="AR161" s="87">
        <v>0.16</v>
      </c>
      <c r="AS161" s="87">
        <v>0.15</v>
      </c>
      <c r="AT161" s="88">
        <v>0.04</v>
      </c>
      <c r="AU161" s="89">
        <f>SUMPRODUCT($AM$152:$AT$152,AM161:AT161)</f>
        <v>66.575000000000003</v>
      </c>
      <c r="AV161" s="90">
        <f>(SUMPRODUCT($AM$152:$AT$152,AM161:AT161))*$AV$152*AL161</f>
        <v>81576.508729411988</v>
      </c>
      <c r="AW161" s="90">
        <f>AV161/$AW$152</f>
        <v>1359.6084788235332</v>
      </c>
      <c r="AX161" s="91">
        <f>AW161*(1+$AX$152)</f>
        <v>1631.5301745882398</v>
      </c>
    </row>
    <row r="162" spans="2:50" ht="47.25" customHeight="1" x14ac:dyDescent="0.25">
      <c r="B162" s="13" t="s">
        <v>38</v>
      </c>
      <c r="D162" s="84">
        <v>4335.5880936454851</v>
      </c>
      <c r="E162" s="87">
        <v>0.3</v>
      </c>
      <c r="F162" s="92">
        <v>0.25</v>
      </c>
      <c r="G162" s="87">
        <v>0.25</v>
      </c>
      <c r="H162" s="87">
        <v>0.1</v>
      </c>
      <c r="I162" s="87">
        <v>0.05</v>
      </c>
      <c r="J162" s="87">
        <v>0.02</v>
      </c>
      <c r="K162" s="87">
        <v>0.02</v>
      </c>
      <c r="L162" s="88">
        <v>0.01</v>
      </c>
      <c r="M162" s="89">
        <f>SUMPRODUCT($E$152:$L$152,E162:L162)</f>
        <v>14.9</v>
      </c>
      <c r="N162" s="90">
        <f>(SUMPRODUCT($E$152:$L$152,E162:L162))*$N$152*D162</f>
        <v>12920.052519063547</v>
      </c>
      <c r="O162" s="90">
        <f>N162/$O$152</f>
        <v>215.33420865105913</v>
      </c>
      <c r="P162" s="91">
        <f>O162*(1+$P$152)</f>
        <v>258.40105038127092</v>
      </c>
      <c r="S162" s="13" t="s">
        <v>38</v>
      </c>
      <c r="U162" s="84">
        <v>5833.9673388093643</v>
      </c>
      <c r="V162" s="87">
        <v>0.3</v>
      </c>
      <c r="W162" s="92">
        <v>0.25</v>
      </c>
      <c r="X162" s="87">
        <v>0.25</v>
      </c>
      <c r="Y162" s="87">
        <v>0.1</v>
      </c>
      <c r="Z162" s="87">
        <v>0.05</v>
      </c>
      <c r="AA162" s="87">
        <v>0.02</v>
      </c>
      <c r="AB162" s="87">
        <v>0.02</v>
      </c>
      <c r="AC162" s="88">
        <v>0.01</v>
      </c>
      <c r="AD162" s="89">
        <f>SUMPRODUCT($V$152:$AC$152,V162:AC162)</f>
        <v>14.9</v>
      </c>
      <c r="AE162" s="90">
        <f>(SUMPRODUCT($V$152:$AC$152,V162:AC162))*$AE$152*U162</f>
        <v>17385.222669651906</v>
      </c>
      <c r="AF162" s="90">
        <f>AE162/$AF$152</f>
        <v>289.75371116086512</v>
      </c>
      <c r="AG162" s="91">
        <f>AF162*(1+$AG$152)</f>
        <v>347.70445339303814</v>
      </c>
      <c r="AJ162" s="13" t="s">
        <v>38</v>
      </c>
      <c r="AL162" s="84">
        <v>12253.324630779118</v>
      </c>
      <c r="AM162" s="87">
        <v>0.3</v>
      </c>
      <c r="AN162" s="92">
        <v>0.25</v>
      </c>
      <c r="AO162" s="87">
        <v>0.25</v>
      </c>
      <c r="AP162" s="87">
        <v>0.1</v>
      </c>
      <c r="AQ162" s="87">
        <v>0.05</v>
      </c>
      <c r="AR162" s="87">
        <v>0.02</v>
      </c>
      <c r="AS162" s="87">
        <v>0.02</v>
      </c>
      <c r="AT162" s="88">
        <v>0.01</v>
      </c>
      <c r="AU162" s="89">
        <f>SUMPRODUCT($AM$152:$AT$152,AM162:AT162)</f>
        <v>14.9</v>
      </c>
      <c r="AV162" s="90">
        <f>(SUMPRODUCT($AM$152:$AT$152,AM162:AT162))*$AV$152*AL162</f>
        <v>36514.907399721778</v>
      </c>
      <c r="AW162" s="90">
        <f>AV162/$AW$152</f>
        <v>608.58178999536301</v>
      </c>
      <c r="AX162" s="91">
        <f>AW162*(1+$AX$152)</f>
        <v>730.29814799443557</v>
      </c>
    </row>
    <row r="163" spans="2:50" ht="15.75" customHeight="1" x14ac:dyDescent="0.25">
      <c r="B163" s="13" t="s">
        <v>39</v>
      </c>
      <c r="D163" s="84">
        <v>5462.8409979933112</v>
      </c>
      <c r="E163" s="87">
        <v>0.1</v>
      </c>
      <c r="F163" s="92">
        <v>0.12</v>
      </c>
      <c r="G163" s="87">
        <v>0.12</v>
      </c>
      <c r="H163" s="87">
        <v>0.1</v>
      </c>
      <c r="I163" s="87">
        <v>0.18</v>
      </c>
      <c r="J163" s="87">
        <v>0.2</v>
      </c>
      <c r="K163" s="87">
        <v>0.15</v>
      </c>
      <c r="L163" s="88">
        <v>0.03</v>
      </c>
      <c r="M163" s="89">
        <f>SUMPRODUCT($E$152:$L$152,E163:L163)</f>
        <v>57.71</v>
      </c>
      <c r="N163" s="90">
        <f>(SUMPRODUCT($E$152:$L$152,E163:L163))*$N$152*D163</f>
        <v>63052.11079883881</v>
      </c>
      <c r="O163" s="90">
        <f>N163/$O$152</f>
        <v>1050.8685133139802</v>
      </c>
      <c r="P163" s="91">
        <f>O163*(1+$P$152)</f>
        <v>1261.0422159767761</v>
      </c>
      <c r="S163" s="13" t="s">
        <v>39</v>
      </c>
      <c r="U163" s="84">
        <v>7350.7988468997992</v>
      </c>
      <c r="V163" s="87">
        <v>0.1</v>
      </c>
      <c r="W163" s="92">
        <v>0.12</v>
      </c>
      <c r="X163" s="87">
        <v>0.12</v>
      </c>
      <c r="Y163" s="87">
        <v>0.1</v>
      </c>
      <c r="Z163" s="87">
        <v>0.18</v>
      </c>
      <c r="AA163" s="87">
        <v>0.2</v>
      </c>
      <c r="AB163" s="87">
        <v>0.15</v>
      </c>
      <c r="AC163" s="88">
        <v>0.03</v>
      </c>
      <c r="AD163" s="89">
        <f>SUMPRODUCT($V$152:$AC$152,V163:AC163)</f>
        <v>57.71</v>
      </c>
      <c r="AE163" s="90">
        <f>(SUMPRODUCT($V$152:$AC$152,V163:AC163))*$AE$152*U163</f>
        <v>84842.920290917493</v>
      </c>
      <c r="AF163" s="90">
        <f>AE163/$AF$152</f>
        <v>1414.0486715152915</v>
      </c>
      <c r="AG163" s="91">
        <f>AF163*(1+$AG$152)</f>
        <v>1696.8584058183499</v>
      </c>
      <c r="AJ163" s="13" t="s">
        <v>39</v>
      </c>
      <c r="AL163" s="84">
        <v>15439.18903478169</v>
      </c>
      <c r="AM163" s="87">
        <v>0.1</v>
      </c>
      <c r="AN163" s="92">
        <v>0.12</v>
      </c>
      <c r="AO163" s="87">
        <v>0.12</v>
      </c>
      <c r="AP163" s="87">
        <v>0.1</v>
      </c>
      <c r="AQ163" s="87">
        <v>0.18</v>
      </c>
      <c r="AR163" s="87">
        <v>0.2</v>
      </c>
      <c r="AS163" s="87">
        <v>0.15</v>
      </c>
      <c r="AT163" s="88">
        <v>0.03</v>
      </c>
      <c r="AU163" s="89">
        <f>SUMPRODUCT($AM$152:$AT$152,AM163:AT163)</f>
        <v>57.71</v>
      </c>
      <c r="AV163" s="90">
        <f>(SUMPRODUCT($AM$152:$AT$152,AM163:AT163))*$AV$152*AL163</f>
        <v>178199.11983945029</v>
      </c>
      <c r="AW163" s="90">
        <f>AV163/$AW$152</f>
        <v>2969.9853306575046</v>
      </c>
      <c r="AX163" s="91">
        <f>AW163*(1+$AX$152)</f>
        <v>3563.9823967890056</v>
      </c>
    </row>
    <row r="164" spans="2:50" ht="15.75" customHeight="1" x14ac:dyDescent="0.25">
      <c r="B164" s="13" t="s">
        <v>3</v>
      </c>
      <c r="D164" s="84">
        <v>7804.0585685618726</v>
      </c>
      <c r="E164" s="87">
        <v>0.1</v>
      </c>
      <c r="F164" s="92">
        <v>0.15</v>
      </c>
      <c r="G164" s="87">
        <v>0.2</v>
      </c>
      <c r="H164" s="87">
        <v>0.18</v>
      </c>
      <c r="I164" s="87">
        <v>0.15</v>
      </c>
      <c r="J164" s="87">
        <v>0.1</v>
      </c>
      <c r="K164" s="87">
        <v>0.1</v>
      </c>
      <c r="L164" s="88">
        <v>0.02</v>
      </c>
      <c r="M164" s="89">
        <f>SUMPRODUCT($E$152:$L$152,E164:L164)</f>
        <v>38</v>
      </c>
      <c r="N164" s="90">
        <f>(SUMPRODUCT($E$152:$L$152,E164:L164))*$N$152*D164</f>
        <v>59310.845121070233</v>
      </c>
      <c r="O164" s="90">
        <f>N164/$O$152</f>
        <v>988.51408535117059</v>
      </c>
      <c r="P164" s="91">
        <f>O164*(1+$P$152)</f>
        <v>1186.2169024214047</v>
      </c>
      <c r="S164" s="13" t="s">
        <v>3</v>
      </c>
      <c r="U164" s="84">
        <v>10501.141209856854</v>
      </c>
      <c r="V164" s="87">
        <v>0.1</v>
      </c>
      <c r="W164" s="92">
        <v>0.15</v>
      </c>
      <c r="X164" s="87">
        <v>0.2</v>
      </c>
      <c r="Y164" s="87">
        <v>0.18</v>
      </c>
      <c r="Z164" s="87">
        <v>0.15</v>
      </c>
      <c r="AA164" s="87">
        <v>0.1</v>
      </c>
      <c r="AB164" s="87">
        <v>0.1</v>
      </c>
      <c r="AC164" s="88">
        <v>0.02</v>
      </c>
      <c r="AD164" s="89">
        <f>SUMPRODUCT($V$152:$AC$152,V164:AC164)</f>
        <v>38</v>
      </c>
      <c r="AE164" s="90">
        <f>(SUMPRODUCT($V$152:$AC$152,V164:AC164))*$AE$152*U164</f>
        <v>79808.673194912102</v>
      </c>
      <c r="AF164" s="90">
        <f>AE164/$AF$152</f>
        <v>1330.144553248535</v>
      </c>
      <c r="AG164" s="91">
        <f>AF164*(1+$AG$152)</f>
        <v>1596.1734638982418</v>
      </c>
      <c r="AJ164" s="13" t="s">
        <v>3</v>
      </c>
      <c r="AL164" s="84">
        <v>22055.984335402412</v>
      </c>
      <c r="AM164" s="87">
        <v>0.1</v>
      </c>
      <c r="AN164" s="92">
        <v>0.15</v>
      </c>
      <c r="AO164" s="87">
        <v>0.2</v>
      </c>
      <c r="AP164" s="87">
        <v>0.18</v>
      </c>
      <c r="AQ164" s="87">
        <v>0.15</v>
      </c>
      <c r="AR164" s="87">
        <v>0.1</v>
      </c>
      <c r="AS164" s="87">
        <v>0.1</v>
      </c>
      <c r="AT164" s="88">
        <v>0.02</v>
      </c>
      <c r="AU164" s="89">
        <f>SUMPRODUCT($AM$152:$AT$152,AM164:AT164)</f>
        <v>38</v>
      </c>
      <c r="AV164" s="90">
        <f>(SUMPRODUCT($AM$152:$AT$152,AM164:AT164))*$AV$152*AL164</f>
        <v>167625.48094905834</v>
      </c>
      <c r="AW164" s="90">
        <f>AV164/$AW$152</f>
        <v>2793.7580158176393</v>
      </c>
      <c r="AX164" s="91">
        <f>AW164*(1+$AX$152)</f>
        <v>3352.509618981167</v>
      </c>
    </row>
    <row r="165" spans="2:50" ht="31.5" customHeight="1" x14ac:dyDescent="0.25">
      <c r="B165" s="13" t="s">
        <v>40</v>
      </c>
      <c r="D165" s="84">
        <v>1213.9646662207358</v>
      </c>
      <c r="E165" s="87">
        <v>0.25</v>
      </c>
      <c r="F165" s="92">
        <v>0.2</v>
      </c>
      <c r="G165" s="87">
        <v>0.17</v>
      </c>
      <c r="H165" s="87">
        <v>0.15</v>
      </c>
      <c r="I165" s="87">
        <v>0.1</v>
      </c>
      <c r="J165" s="87">
        <v>0.1</v>
      </c>
      <c r="K165" s="87">
        <v>0.02</v>
      </c>
      <c r="L165" s="88">
        <v>0.01</v>
      </c>
      <c r="M165" s="89">
        <f>SUMPRODUCT($E$152:$L$152,E165:L165)</f>
        <v>19.414999999999999</v>
      </c>
      <c r="N165" s="90">
        <f>(SUMPRODUCT($E$152:$L$152,E165:L165))*$N$152*D165</f>
        <v>4713.8247989351175</v>
      </c>
      <c r="O165" s="90">
        <f>N165/$O$152</f>
        <v>78.563746648918624</v>
      </c>
      <c r="P165" s="91">
        <f>O165*(1+$P$152)</f>
        <v>94.276495978702343</v>
      </c>
      <c r="S165" s="13" t="s">
        <v>40</v>
      </c>
      <c r="U165" s="84">
        <v>1633.5108548666219</v>
      </c>
      <c r="V165" s="87">
        <v>0.25</v>
      </c>
      <c r="W165" s="92">
        <v>0.2</v>
      </c>
      <c r="X165" s="87">
        <v>0.17</v>
      </c>
      <c r="Y165" s="87">
        <v>0.15</v>
      </c>
      <c r="Z165" s="87">
        <v>0.1</v>
      </c>
      <c r="AA165" s="87">
        <v>0.1</v>
      </c>
      <c r="AB165" s="87">
        <v>0.02</v>
      </c>
      <c r="AC165" s="88">
        <v>0.01</v>
      </c>
      <c r="AD165" s="89">
        <f>SUMPRODUCT($V$152:$AC$152,V165:AC165)</f>
        <v>19.414999999999999</v>
      </c>
      <c r="AE165" s="90">
        <f>(SUMPRODUCT($V$152:$AC$152,V165:AC165))*$AE$152*U165</f>
        <v>6342.9226494470931</v>
      </c>
      <c r="AF165" s="90">
        <f>AE165/$AF$152</f>
        <v>105.71537749078489</v>
      </c>
      <c r="AG165" s="91">
        <f>AF165*(1+$AG$152)</f>
        <v>126.85845298894186</v>
      </c>
      <c r="AJ165" s="13" t="s">
        <v>40</v>
      </c>
      <c r="AL165" s="84">
        <v>3430.9308966181529</v>
      </c>
      <c r="AM165" s="87">
        <v>0.25</v>
      </c>
      <c r="AN165" s="92">
        <v>0.2</v>
      </c>
      <c r="AO165" s="87">
        <v>0.17</v>
      </c>
      <c r="AP165" s="87">
        <v>0.15</v>
      </c>
      <c r="AQ165" s="87">
        <v>0.1</v>
      </c>
      <c r="AR165" s="87">
        <v>0.1</v>
      </c>
      <c r="AS165" s="87">
        <v>0.02</v>
      </c>
      <c r="AT165" s="88">
        <v>0.01</v>
      </c>
      <c r="AU165" s="89">
        <f>SUMPRODUCT($AM$152:$AT$152,AM165:AT165)</f>
        <v>19.414999999999999</v>
      </c>
      <c r="AV165" s="90">
        <f>(SUMPRODUCT($AM$152:$AT$152,AM165:AT165))*$AV$152*AL165</f>
        <v>13322.304671568289</v>
      </c>
      <c r="AW165" s="90">
        <f>AV165/$AW$152</f>
        <v>222.0384111928048</v>
      </c>
      <c r="AX165" s="91">
        <f>AW165*(1+$AX$152)</f>
        <v>266.44609343136574</v>
      </c>
    </row>
    <row r="166" spans="2:50" ht="15.75" customHeight="1" x14ac:dyDescent="0.25">
      <c r="B166" s="13" t="s">
        <v>2</v>
      </c>
      <c r="D166" s="84">
        <v>5896.3998073578605</v>
      </c>
      <c r="E166" s="87">
        <v>0.3</v>
      </c>
      <c r="F166" s="92">
        <v>0.27</v>
      </c>
      <c r="G166" s="87">
        <v>0.2</v>
      </c>
      <c r="H166" s="87">
        <v>0.05</v>
      </c>
      <c r="I166" s="87">
        <v>0.1</v>
      </c>
      <c r="J166" s="87">
        <v>0.05</v>
      </c>
      <c r="K166" s="87">
        <v>0.02</v>
      </c>
      <c r="L166" s="88">
        <v>0.01</v>
      </c>
      <c r="M166" s="89">
        <f>SUMPRODUCT($E$152:$L$152,E166:L166)</f>
        <v>16.57</v>
      </c>
      <c r="N166" s="90">
        <f>(SUMPRODUCT($E$152:$L$152,E166:L166))*$N$152*D166</f>
        <v>19540.66896158395</v>
      </c>
      <c r="O166" s="90">
        <f>N166/$O$152</f>
        <v>325.67781602639917</v>
      </c>
      <c r="P166" s="91">
        <f>O166*(1+$P$152)</f>
        <v>390.81337923167899</v>
      </c>
      <c r="S166" s="13" t="s">
        <v>2</v>
      </c>
      <c r="U166" s="84">
        <v>7934.1955807807362</v>
      </c>
      <c r="V166" s="87">
        <v>0.3</v>
      </c>
      <c r="W166" s="92">
        <v>0.27</v>
      </c>
      <c r="X166" s="87">
        <v>0.2</v>
      </c>
      <c r="Y166" s="87">
        <v>0.05</v>
      </c>
      <c r="Z166" s="87">
        <v>0.1</v>
      </c>
      <c r="AA166" s="87">
        <v>0.05</v>
      </c>
      <c r="AB166" s="87">
        <v>0.02</v>
      </c>
      <c r="AC166" s="88">
        <v>0.01</v>
      </c>
      <c r="AD166" s="89">
        <f>SUMPRODUCT($V$152:$AC$152,V166:AC166)</f>
        <v>16.57</v>
      </c>
      <c r="AE166" s="90">
        <f>(SUMPRODUCT($V$152:$AC$152,V166:AC166))*$AE$152*U166</f>
        <v>26293.924154707362</v>
      </c>
      <c r="AF166" s="90">
        <f>AE166/$AF$152</f>
        <v>438.23206924512272</v>
      </c>
      <c r="AG166" s="91">
        <f>AF166*(1+$AG$152)</f>
        <v>525.87848309414721</v>
      </c>
      <c r="AJ166" s="13" t="s">
        <v>2</v>
      </c>
      <c r="AL166" s="84">
        <v>16664.521497859601</v>
      </c>
      <c r="AM166" s="87">
        <v>0.3</v>
      </c>
      <c r="AN166" s="92">
        <v>0.27</v>
      </c>
      <c r="AO166" s="87">
        <v>0.2</v>
      </c>
      <c r="AP166" s="87">
        <v>0.05</v>
      </c>
      <c r="AQ166" s="87">
        <v>0.1</v>
      </c>
      <c r="AR166" s="87">
        <v>0.05</v>
      </c>
      <c r="AS166" s="87">
        <v>0.02</v>
      </c>
      <c r="AT166" s="88">
        <v>0.01</v>
      </c>
      <c r="AU166" s="89">
        <f>SUMPRODUCT($AM$152:$AT$152,AM166:AT166)</f>
        <v>16.57</v>
      </c>
      <c r="AV166" s="90">
        <f>(SUMPRODUCT($AM$152:$AT$152,AM166:AT166))*$AV$152*AL166</f>
        <v>55226.224243906719</v>
      </c>
      <c r="AW166" s="90">
        <f>AV166/$AW$152</f>
        <v>920.4370707317787</v>
      </c>
      <c r="AX166" s="91">
        <f>AW166*(1+$AX$152)</f>
        <v>1104.5244848781344</v>
      </c>
    </row>
    <row r="167" spans="2:50" ht="15.75" customHeight="1" x14ac:dyDescent="0.25">
      <c r="B167" s="13" t="s">
        <v>41</v>
      </c>
      <c r="D167" s="84">
        <v>3555.1822367892973</v>
      </c>
      <c r="E167" s="87">
        <v>0.1</v>
      </c>
      <c r="F167" s="92">
        <v>0.14000000000000001</v>
      </c>
      <c r="G167" s="87">
        <v>0.15</v>
      </c>
      <c r="H167" s="87">
        <v>0.2</v>
      </c>
      <c r="I167" s="87">
        <v>0.25</v>
      </c>
      <c r="J167" s="87">
        <v>0.1</v>
      </c>
      <c r="K167" s="87">
        <v>0.05</v>
      </c>
      <c r="L167" s="88">
        <v>0.01</v>
      </c>
      <c r="M167" s="89">
        <f>SUMPRODUCT($E$152:$L$152,E167:L167)</f>
        <v>23.990000000000002</v>
      </c>
      <c r="N167" s="90">
        <f>(SUMPRODUCT($E$152:$L$152,E167:L167))*$N$152*D167</f>
        <v>17057.764372115053</v>
      </c>
      <c r="O167" s="90">
        <f>N167/$O$152</f>
        <v>284.29607286858419</v>
      </c>
      <c r="P167" s="91">
        <f>O167*(1+$P$152)</f>
        <v>341.15528744230102</v>
      </c>
      <c r="S167" s="13" t="s">
        <v>41</v>
      </c>
      <c r="U167" s="84">
        <v>4783.8532178236783</v>
      </c>
      <c r="V167" s="87">
        <v>0.1</v>
      </c>
      <c r="W167" s="92">
        <v>0.14000000000000001</v>
      </c>
      <c r="X167" s="87">
        <v>0.15</v>
      </c>
      <c r="Y167" s="87">
        <v>0.2</v>
      </c>
      <c r="Z167" s="87">
        <v>0.25</v>
      </c>
      <c r="AA167" s="87">
        <v>0.1</v>
      </c>
      <c r="AB167" s="87">
        <v>0.05</v>
      </c>
      <c r="AC167" s="88">
        <v>0.01</v>
      </c>
      <c r="AD167" s="89">
        <f>SUMPRODUCT($V$152:$AC$152,V167:AC167)</f>
        <v>23.990000000000002</v>
      </c>
      <c r="AE167" s="90">
        <f>(SUMPRODUCT($V$152:$AC$152,V167:AC167))*$AE$152*U167</f>
        <v>22952.927739118011</v>
      </c>
      <c r="AF167" s="90">
        <f>AE167/$AF$152</f>
        <v>382.54879565196683</v>
      </c>
      <c r="AG167" s="91">
        <f>AF167*(1+$AG$152)</f>
        <v>459.0585547823602</v>
      </c>
      <c r="AJ167" s="13" t="s">
        <v>41</v>
      </c>
      <c r="AL167" s="84">
        <v>10047.726197238875</v>
      </c>
      <c r="AM167" s="87">
        <v>0.1</v>
      </c>
      <c r="AN167" s="92">
        <v>0.14000000000000001</v>
      </c>
      <c r="AO167" s="87">
        <v>0.15</v>
      </c>
      <c r="AP167" s="87">
        <v>0.2</v>
      </c>
      <c r="AQ167" s="87">
        <v>0.25</v>
      </c>
      <c r="AR167" s="87">
        <v>0.1</v>
      </c>
      <c r="AS167" s="87">
        <v>0.05</v>
      </c>
      <c r="AT167" s="88">
        <v>0.01</v>
      </c>
      <c r="AU167" s="89">
        <f>SUMPRODUCT($AM$152:$AT$152,AM167:AT167)</f>
        <v>23.990000000000002</v>
      </c>
      <c r="AV167" s="90">
        <f>(SUMPRODUCT($AM$152:$AT$152,AM167:AT167))*$AV$152*AL167</f>
        <v>48208.99029435213</v>
      </c>
      <c r="AW167" s="90">
        <f>AV167/$AW$152</f>
        <v>803.48317157253553</v>
      </c>
      <c r="AX167" s="91">
        <f>AW167*(1+$AX$152)</f>
        <v>964.17980588704256</v>
      </c>
    </row>
    <row r="168" spans="2:50" ht="15.75" customHeight="1" x14ac:dyDescent="0.25">
      <c r="B168" s="13" t="s">
        <v>42</v>
      </c>
      <c r="D168" s="84">
        <v>3381.7587130434786</v>
      </c>
      <c r="E168" s="87">
        <v>0.1</v>
      </c>
      <c r="F168" s="92">
        <v>0.15</v>
      </c>
      <c r="G168" s="87">
        <v>0.2</v>
      </c>
      <c r="H168" s="87">
        <v>0.22</v>
      </c>
      <c r="I168" s="87">
        <v>0.2</v>
      </c>
      <c r="J168" s="87">
        <v>0.1</v>
      </c>
      <c r="K168" s="87">
        <v>0.02</v>
      </c>
      <c r="L168" s="88">
        <v>0.01</v>
      </c>
      <c r="M168" s="89">
        <f>SUMPRODUCT($E$152:$L$152,E168:L168)</f>
        <v>20.7</v>
      </c>
      <c r="N168" s="90">
        <f>(SUMPRODUCT($E$152:$L$152,E168:L168))*$N$152*D168</f>
        <v>14000.481072</v>
      </c>
      <c r="O168" s="90">
        <f>N168/$O$152</f>
        <v>233.34135120000002</v>
      </c>
      <c r="P168" s="91">
        <f>O168*(1+$P$152)</f>
        <v>280.00962143999999</v>
      </c>
      <c r="S168" s="13" t="s">
        <v>42</v>
      </c>
      <c r="U168" s="84">
        <v>4550.4945242713047</v>
      </c>
      <c r="V168" s="87">
        <v>0.1</v>
      </c>
      <c r="W168" s="92">
        <v>0.15</v>
      </c>
      <c r="X168" s="87">
        <v>0.2</v>
      </c>
      <c r="Y168" s="87">
        <v>0.22</v>
      </c>
      <c r="Z168" s="87">
        <v>0.2</v>
      </c>
      <c r="AA168" s="87">
        <v>0.1</v>
      </c>
      <c r="AB168" s="87">
        <v>0.02</v>
      </c>
      <c r="AC168" s="88">
        <v>0.01</v>
      </c>
      <c r="AD168" s="89">
        <f>SUMPRODUCT($V$152:$AC$152,V168:AC168)</f>
        <v>20.7</v>
      </c>
      <c r="AE168" s="90">
        <f>(SUMPRODUCT($V$152:$AC$152,V168:AC168))*$AE$152*U168</f>
        <v>18839.047330483201</v>
      </c>
      <c r="AF168" s="90">
        <f>AE168/$AF$152</f>
        <v>313.98412217472003</v>
      </c>
      <c r="AG168" s="91">
        <f>AF168*(1+$AG$152)</f>
        <v>376.780946609664</v>
      </c>
      <c r="AJ168" s="13" t="s">
        <v>42</v>
      </c>
      <c r="AL168" s="84">
        <v>9557.5932120077123</v>
      </c>
      <c r="AM168" s="87">
        <v>0.1</v>
      </c>
      <c r="AN168" s="92">
        <v>0.15</v>
      </c>
      <c r="AO168" s="87">
        <v>0.2</v>
      </c>
      <c r="AP168" s="87">
        <v>0.22</v>
      </c>
      <c r="AQ168" s="87">
        <v>0.2</v>
      </c>
      <c r="AR168" s="87">
        <v>0.1</v>
      </c>
      <c r="AS168" s="87">
        <v>0.02</v>
      </c>
      <c r="AT168" s="88">
        <v>0.01</v>
      </c>
      <c r="AU168" s="89">
        <f>SUMPRODUCT($AM$152:$AT$152,AM168:AT168)</f>
        <v>20.7</v>
      </c>
      <c r="AV168" s="90">
        <f>(SUMPRODUCT($AM$152:$AT$152,AM168:AT168))*$AV$152*AL168</f>
        <v>39568.435897711926</v>
      </c>
      <c r="AW168" s="90">
        <f>AV168/$AW$152</f>
        <v>659.47393162853211</v>
      </c>
      <c r="AX168" s="91">
        <f>AW168*(1+$AX$152)</f>
        <v>791.36871795423849</v>
      </c>
    </row>
    <row r="169" spans="2:50" ht="15.75" customHeight="1" x14ac:dyDescent="0.25">
      <c r="B169" s="13" t="s">
        <v>43</v>
      </c>
      <c r="D169" s="84">
        <v>68538.638127090308</v>
      </c>
      <c r="E169" s="87">
        <v>0.05</v>
      </c>
      <c r="F169" s="92">
        <v>0.05</v>
      </c>
      <c r="G169" s="87">
        <v>0.1</v>
      </c>
      <c r="H169" s="87">
        <v>0.1</v>
      </c>
      <c r="I169" s="87">
        <v>0.15</v>
      </c>
      <c r="J169" s="87">
        <v>0.2</v>
      </c>
      <c r="K169" s="87">
        <v>0.25</v>
      </c>
      <c r="L169" s="88">
        <v>0.1</v>
      </c>
      <c r="M169" s="89">
        <f>SUMPRODUCT($E$152:$L$152,E169:L169)</f>
        <v>137.27500000000001</v>
      </c>
      <c r="N169" s="90">
        <f>(SUMPRODUCT($E$152:$L$152,E169:L169))*$N$152*D169</f>
        <v>1881728.3097792645</v>
      </c>
      <c r="O169" s="90">
        <f>N169/$O$152</f>
        <v>31362.138496321077</v>
      </c>
      <c r="P169" s="91">
        <f>O169*(1+$P$152)</f>
        <v>37634.566195585292</v>
      </c>
      <c r="S169" s="13" t="s">
        <v>43</v>
      </c>
      <c r="U169" s="84">
        <v>70650.255764587462</v>
      </c>
      <c r="V169" s="87">
        <v>0.05</v>
      </c>
      <c r="W169" s="92">
        <v>0.05</v>
      </c>
      <c r="X169" s="87">
        <v>0.1</v>
      </c>
      <c r="Y169" s="87">
        <v>0.1</v>
      </c>
      <c r="Z169" s="87">
        <v>0.15</v>
      </c>
      <c r="AA169" s="87">
        <v>0.2</v>
      </c>
      <c r="AB169" s="87">
        <v>0.25</v>
      </c>
      <c r="AC169" s="88">
        <v>0.1</v>
      </c>
      <c r="AD169" s="89">
        <f>SUMPRODUCT($V$152:$AC$152,V169:AC169)</f>
        <v>137.27500000000001</v>
      </c>
      <c r="AE169" s="90">
        <f>(SUMPRODUCT($V$152:$AC$152,V169:AC169))*$AE$152*U169</f>
        <v>1939702.772016749</v>
      </c>
      <c r="AF169" s="90">
        <f>AE169/$AF$152</f>
        <v>32328.379533612482</v>
      </c>
      <c r="AG169" s="91">
        <f>AF169*(1+$AG$152)</f>
        <v>38794.055440334974</v>
      </c>
      <c r="AJ169" s="13" t="s">
        <v>43</v>
      </c>
      <c r="AL169" s="84">
        <v>75300.792824313074</v>
      </c>
      <c r="AM169" s="87">
        <v>0.05</v>
      </c>
      <c r="AN169" s="92">
        <v>0.05</v>
      </c>
      <c r="AO169" s="87">
        <v>0.1</v>
      </c>
      <c r="AP169" s="87">
        <v>0.1</v>
      </c>
      <c r="AQ169" s="87">
        <v>0.15</v>
      </c>
      <c r="AR169" s="87">
        <v>0.2</v>
      </c>
      <c r="AS169" s="87">
        <v>0.25</v>
      </c>
      <c r="AT169" s="88">
        <v>0.1</v>
      </c>
      <c r="AU169" s="89">
        <f>SUMPRODUCT($AM$152:$AT$152,AM169:AT169)</f>
        <v>137.27500000000001</v>
      </c>
      <c r="AV169" s="90">
        <f>(SUMPRODUCT($AM$152:$AT$152,AM169:AT169))*$AV$152*AL169</f>
        <v>2067383.2669915156</v>
      </c>
      <c r="AW169" s="90">
        <f>AV169/$AW$152</f>
        <v>34456.387783191931</v>
      </c>
      <c r="AX169" s="91">
        <f>AW169*(1+$AX$152)</f>
        <v>41347.665339830317</v>
      </c>
    </row>
    <row r="170" spans="2:50" ht="15.75" customHeight="1" thickBot="1" x14ac:dyDescent="0.3">
      <c r="B170" s="103" t="s">
        <v>44</v>
      </c>
      <c r="D170" s="93">
        <v>3786.1643835616442</v>
      </c>
      <c r="E170" s="94">
        <v>0.05</v>
      </c>
      <c r="F170" s="94">
        <v>0.13</v>
      </c>
      <c r="G170" s="95">
        <v>0.2</v>
      </c>
      <c r="H170" s="95">
        <v>0.25</v>
      </c>
      <c r="I170" s="95">
        <v>0.2</v>
      </c>
      <c r="J170" s="95">
        <v>0.1</v>
      </c>
      <c r="K170" s="95">
        <v>0.05</v>
      </c>
      <c r="L170" s="96">
        <v>0.02</v>
      </c>
      <c r="M170" s="97">
        <f>SUMPRODUCT($E$152:$L$152,E170:L170)</f>
        <v>33.805</v>
      </c>
      <c r="N170" s="98">
        <f>(SUMPRODUCT($E$152:$L$152,E170:L170))*$N$152*D170</f>
        <v>25598.257397260277</v>
      </c>
      <c r="O170" s="98">
        <f>N170/$O$152</f>
        <v>426.63762328767126</v>
      </c>
      <c r="P170" s="99">
        <f>O170*(1+$P$152)</f>
        <v>511.9651479452055</v>
      </c>
      <c r="S170" s="103" t="s">
        <v>44</v>
      </c>
      <c r="U170" s="93">
        <v>4134.5861609589037</v>
      </c>
      <c r="V170" s="94">
        <v>0.05</v>
      </c>
      <c r="W170" s="94">
        <v>0.13</v>
      </c>
      <c r="X170" s="95">
        <v>0.2</v>
      </c>
      <c r="Y170" s="95">
        <v>0.25</v>
      </c>
      <c r="Z170" s="95">
        <v>0.2</v>
      </c>
      <c r="AA170" s="95">
        <v>0.1</v>
      </c>
      <c r="AB170" s="95">
        <v>0.05</v>
      </c>
      <c r="AC170" s="96">
        <v>0.02</v>
      </c>
      <c r="AD170" s="97">
        <f>SUMPRODUCT($V$152:$AC$152,V170:AC170)</f>
        <v>33.805</v>
      </c>
      <c r="AE170" s="98">
        <f>(SUMPRODUCT($V$152:$AC$152,V170:AC170))*$AE$152*U170</f>
        <v>27953.93703424315</v>
      </c>
      <c r="AF170" s="98">
        <f>AE170/$AF$152</f>
        <v>465.89895057071919</v>
      </c>
      <c r="AG170" s="99">
        <f>AF170*(1+$AG$152)</f>
        <v>559.07874068486296</v>
      </c>
      <c r="AJ170" s="103" t="s">
        <v>44</v>
      </c>
      <c r="AL170" s="93">
        <v>5177.1466756407135</v>
      </c>
      <c r="AM170" s="94">
        <v>0.05</v>
      </c>
      <c r="AN170" s="94">
        <v>0.13</v>
      </c>
      <c r="AO170" s="95">
        <v>0.2</v>
      </c>
      <c r="AP170" s="95">
        <v>0.25</v>
      </c>
      <c r="AQ170" s="95">
        <v>0.2</v>
      </c>
      <c r="AR170" s="95">
        <v>0.1</v>
      </c>
      <c r="AS170" s="95">
        <v>0.05</v>
      </c>
      <c r="AT170" s="96">
        <v>0.02</v>
      </c>
      <c r="AU170" s="97">
        <f>SUMPRODUCT($AM$152:$AT$152,AM170:AT170)</f>
        <v>33.805</v>
      </c>
      <c r="AV170" s="98">
        <f>(SUMPRODUCT($AM$152:$AT$152,AM170:AT170))*$AV$152*AL170</f>
        <v>35002.688674006866</v>
      </c>
      <c r="AW170" s="98">
        <f>AV170/$AW$152</f>
        <v>583.37814456678109</v>
      </c>
      <c r="AX170" s="99">
        <f>AW170*(1+$AX$152)</f>
        <v>700.05377348013724</v>
      </c>
    </row>
    <row r="171" spans="2:50" ht="15.75" customHeight="1" x14ac:dyDescent="0.25">
      <c r="B171" s="104" t="s">
        <v>182</v>
      </c>
      <c r="D171" s="100">
        <f>SUM(D154:D170)</f>
        <v>155828.22919426399</v>
      </c>
      <c r="M171" s="8"/>
      <c r="N171" s="100">
        <f>SUM(N154:N170)</f>
        <v>2340299.291742574</v>
      </c>
      <c r="O171" s="101">
        <f>N171/$O$152</f>
        <v>39004.988195709564</v>
      </c>
      <c r="P171" s="101">
        <f>O171*(1+$P$152)</f>
        <v>46805.985834851475</v>
      </c>
      <c r="S171" s="104" t="s">
        <v>182</v>
      </c>
      <c r="U171" s="100">
        <f>SUM(U154:U170)</f>
        <v>187147.05287101472</v>
      </c>
      <c r="AD171" s="8"/>
      <c r="AE171" s="100">
        <f>SUM(AE154:AE170)</f>
        <v>2550264.8072270686</v>
      </c>
      <c r="AF171" s="101">
        <f>AE171/$AF$152</f>
        <v>42504.413453784473</v>
      </c>
      <c r="AG171" s="101">
        <f>AF171*(1+$AG$152)</f>
        <v>51005.296144541368</v>
      </c>
      <c r="AJ171" s="104" t="s">
        <v>182</v>
      </c>
      <c r="AL171" s="100">
        <f>SUM(AL154:AL170)</f>
        <v>316476.97188875952</v>
      </c>
      <c r="AU171" s="8"/>
      <c r="AV171" s="100">
        <f>SUM(AV154:AV170)</f>
        <v>3326062.0143198459</v>
      </c>
      <c r="AW171" s="101">
        <f>AV171/$AW$152</f>
        <v>55434.366905330768</v>
      </c>
      <c r="AX171" s="101">
        <f>AW171*(1+$AX$152)</f>
        <v>66521.240286396918</v>
      </c>
    </row>
    <row r="172" spans="2:50" ht="15" customHeight="1" x14ac:dyDescent="0.25">
      <c r="M172" s="8"/>
      <c r="N172" s="8">
        <f>N171/D171</f>
        <v>15.018455281456282</v>
      </c>
      <c r="O172" s="8">
        <f>N172/$O$152</f>
        <v>0.25030758802427139</v>
      </c>
      <c r="P172" s="8">
        <f>O172*(1+$P$152)</f>
        <v>0.30036910562912567</v>
      </c>
      <c r="AD172" s="8"/>
      <c r="AE172" s="8">
        <f>AE171/U171</f>
        <v>13.627063681225904</v>
      </c>
      <c r="AF172" s="8">
        <f>AE172/$AF$152</f>
        <v>0.22711772802043173</v>
      </c>
      <c r="AG172" s="8">
        <f>AF172*(1+$AG$152)</f>
        <v>0.27254127362451808</v>
      </c>
      <c r="AU172" s="8"/>
      <c r="AV172" s="8">
        <f>AV171/AL171</f>
        <v>10.509649389241959</v>
      </c>
      <c r="AW172" s="8">
        <f>AV172/$AW$152</f>
        <v>0.17516082315403264</v>
      </c>
      <c r="AX172" s="8">
        <f>AW172*(1+$AX$152)</f>
        <v>0.21019298778483916</v>
      </c>
    </row>
    <row r="176" spans="2:50" ht="15" customHeight="1" x14ac:dyDescent="0.25">
      <c r="C176">
        <v>2023</v>
      </c>
      <c r="T176">
        <v>2025</v>
      </c>
      <c r="AK176">
        <v>2030</v>
      </c>
    </row>
    <row r="177" spans="2:50" ht="20.100000000000001" customHeight="1" x14ac:dyDescent="0.25">
      <c r="C177" s="102" t="s">
        <v>16</v>
      </c>
      <c r="T177" s="102" t="s">
        <v>16</v>
      </c>
      <c r="AK177" s="102" t="s">
        <v>16</v>
      </c>
    </row>
    <row r="178" spans="2:50" ht="15" customHeight="1" thickBot="1" x14ac:dyDescent="0.3"/>
    <row r="179" spans="2:50" ht="55.35" customHeight="1" thickBot="1" x14ac:dyDescent="0.3">
      <c r="B179" s="138" t="s">
        <v>5</v>
      </c>
      <c r="C179" s="8"/>
      <c r="D179" s="140" t="s">
        <v>46</v>
      </c>
      <c r="E179" s="142" t="s">
        <v>25</v>
      </c>
      <c r="F179" s="143"/>
      <c r="G179" s="143"/>
      <c r="H179" s="143"/>
      <c r="I179" s="143"/>
      <c r="J179" s="143"/>
      <c r="K179" s="143"/>
      <c r="L179" s="144"/>
      <c r="M179" s="145" t="s">
        <v>6</v>
      </c>
      <c r="N179" s="9" t="s">
        <v>7</v>
      </c>
      <c r="O179" s="9" t="s">
        <v>8</v>
      </c>
      <c r="P179" s="9" t="s">
        <v>9</v>
      </c>
      <c r="S179" s="138" t="s">
        <v>5</v>
      </c>
      <c r="T179" s="8"/>
      <c r="U179" s="140" t="s">
        <v>46</v>
      </c>
      <c r="V179" s="142" t="s">
        <v>25</v>
      </c>
      <c r="W179" s="143"/>
      <c r="X179" s="143"/>
      <c r="Y179" s="143"/>
      <c r="Z179" s="143"/>
      <c r="AA179" s="143"/>
      <c r="AB179" s="143"/>
      <c r="AC179" s="144"/>
      <c r="AD179" s="145" t="s">
        <v>6</v>
      </c>
      <c r="AE179" s="9" t="s">
        <v>7</v>
      </c>
      <c r="AF179" s="9" t="s">
        <v>8</v>
      </c>
      <c r="AG179" s="9" t="s">
        <v>9</v>
      </c>
      <c r="AJ179" s="138" t="s">
        <v>5</v>
      </c>
      <c r="AK179" s="8"/>
      <c r="AL179" s="140" t="s">
        <v>46</v>
      </c>
      <c r="AM179" s="142" t="s">
        <v>25</v>
      </c>
      <c r="AN179" s="143"/>
      <c r="AO179" s="143"/>
      <c r="AP179" s="143"/>
      <c r="AQ179" s="143"/>
      <c r="AR179" s="143"/>
      <c r="AS179" s="143"/>
      <c r="AT179" s="144"/>
      <c r="AU179" s="145" t="s">
        <v>6</v>
      </c>
      <c r="AV179" s="9" t="s">
        <v>7</v>
      </c>
      <c r="AW179" s="9" t="s">
        <v>8</v>
      </c>
      <c r="AX179" s="9" t="s">
        <v>9</v>
      </c>
    </row>
    <row r="180" spans="2:50" ht="16.5" customHeight="1" thickBot="1" x14ac:dyDescent="0.3">
      <c r="B180" s="139"/>
      <c r="C180" s="8"/>
      <c r="D180" s="141"/>
      <c r="E180" s="10">
        <v>0.5</v>
      </c>
      <c r="F180" s="10">
        <v>1</v>
      </c>
      <c r="G180" s="10">
        <v>2</v>
      </c>
      <c r="H180" s="10">
        <v>5</v>
      </c>
      <c r="I180" s="10">
        <v>10</v>
      </c>
      <c r="J180" s="10">
        <v>50</v>
      </c>
      <c r="K180" s="10">
        <v>100</v>
      </c>
      <c r="L180" s="10">
        <v>1000</v>
      </c>
      <c r="M180" s="146"/>
      <c r="N180" s="59">
        <f>'Network Parameters'!$C$8</f>
        <v>0.2</v>
      </c>
      <c r="O180" s="60">
        <f>'Network Parameters'!$C$9</f>
        <v>60</v>
      </c>
      <c r="P180" s="61">
        <f>'Network Parameters'!$C$10</f>
        <v>0.2</v>
      </c>
      <c r="S180" s="139"/>
      <c r="T180" s="8"/>
      <c r="U180" s="141"/>
      <c r="V180" s="10">
        <v>0.5</v>
      </c>
      <c r="W180" s="10">
        <v>1</v>
      </c>
      <c r="X180" s="10">
        <v>2</v>
      </c>
      <c r="Y180" s="10">
        <v>5</v>
      </c>
      <c r="Z180" s="10">
        <v>10</v>
      </c>
      <c r="AA180" s="10">
        <v>50</v>
      </c>
      <c r="AB180" s="10">
        <v>100</v>
      </c>
      <c r="AC180" s="10">
        <v>1000</v>
      </c>
      <c r="AD180" s="146"/>
      <c r="AE180" s="59">
        <f>'Network Parameters'!$C$8</f>
        <v>0.2</v>
      </c>
      <c r="AF180" s="60">
        <f>'Network Parameters'!$C$9</f>
        <v>60</v>
      </c>
      <c r="AG180" s="61">
        <f>'Network Parameters'!$C$10</f>
        <v>0.2</v>
      </c>
      <c r="AJ180" s="139"/>
      <c r="AK180" s="8"/>
      <c r="AL180" s="141"/>
      <c r="AM180" s="10">
        <v>0.5</v>
      </c>
      <c r="AN180" s="10">
        <v>1</v>
      </c>
      <c r="AO180" s="10">
        <v>2</v>
      </c>
      <c r="AP180" s="10">
        <v>5</v>
      </c>
      <c r="AQ180" s="10">
        <v>10</v>
      </c>
      <c r="AR180" s="10">
        <v>50</v>
      </c>
      <c r="AS180" s="10">
        <v>100</v>
      </c>
      <c r="AT180" s="10">
        <v>1000</v>
      </c>
      <c r="AU180" s="146"/>
      <c r="AV180" s="59">
        <f>'Network Parameters'!$C$8</f>
        <v>0.2</v>
      </c>
      <c r="AW180" s="60">
        <f>'Network Parameters'!$C$9</f>
        <v>60</v>
      </c>
      <c r="AX180" s="61">
        <f>'Network Parameters'!$C$10</f>
        <v>0.2</v>
      </c>
    </row>
    <row r="181" spans="2:50" ht="15" customHeight="1" thickBot="1" x14ac:dyDescent="0.3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</row>
    <row r="182" spans="2:50" ht="41.25" customHeight="1" x14ac:dyDescent="0.25">
      <c r="B182" s="13" t="s">
        <v>32</v>
      </c>
      <c r="D182" s="77">
        <v>20687.065907692304</v>
      </c>
      <c r="E182" s="78">
        <v>0.3</v>
      </c>
      <c r="F182" s="78">
        <v>0.3</v>
      </c>
      <c r="G182" s="78">
        <v>0.25</v>
      </c>
      <c r="H182" s="79">
        <v>0.05</v>
      </c>
      <c r="I182" s="78">
        <v>0.05</v>
      </c>
      <c r="J182" s="78">
        <v>0.02</v>
      </c>
      <c r="K182" s="78">
        <v>0.02</v>
      </c>
      <c r="L182" s="80">
        <v>0.01</v>
      </c>
      <c r="M182" s="81">
        <f>SUMPRODUCT($E$180:$L$180,E182:L182)</f>
        <v>14.7</v>
      </c>
      <c r="N182" s="82">
        <f>(SUMPRODUCT($E$180:$L$180,E182:L182))*$N$180*D182</f>
        <v>60819.973768615375</v>
      </c>
      <c r="O182" s="82">
        <f>N182/$O$180</f>
        <v>1013.6662294769229</v>
      </c>
      <c r="P182" s="83">
        <f>O182*(1+$P$180)</f>
        <v>1216.3994753723075</v>
      </c>
      <c r="S182" s="13" t="s">
        <v>32</v>
      </c>
      <c r="U182" s="77">
        <v>27836.515885390763</v>
      </c>
      <c r="V182" s="78">
        <v>0.3</v>
      </c>
      <c r="W182" s="78">
        <v>0.3</v>
      </c>
      <c r="X182" s="78">
        <v>0.25</v>
      </c>
      <c r="Y182" s="79">
        <v>0.05</v>
      </c>
      <c r="Z182" s="78">
        <v>0.05</v>
      </c>
      <c r="AA182" s="78">
        <v>0.02</v>
      </c>
      <c r="AB182" s="78">
        <v>0.02</v>
      </c>
      <c r="AC182" s="80">
        <v>0.01</v>
      </c>
      <c r="AD182" s="81">
        <f>SUMPRODUCT($V$180:$AC$180,V182:AC182)</f>
        <v>14.7</v>
      </c>
      <c r="AE182" s="82">
        <f>(SUMPRODUCT($V$180:$AC$180,V182:AC182))*$AE$180*U182</f>
        <v>81839.356703048848</v>
      </c>
      <c r="AF182" s="82">
        <f>AE182/$AF$180</f>
        <v>1363.9892783841474</v>
      </c>
      <c r="AG182" s="83">
        <f>AF182*(1+$AG$180)</f>
        <v>1636.7871340609768</v>
      </c>
      <c r="AJ182" s="13" t="s">
        <v>32</v>
      </c>
      <c r="AL182" s="77">
        <v>58466.193916530348</v>
      </c>
      <c r="AM182" s="78">
        <v>0.3</v>
      </c>
      <c r="AN182" s="78">
        <v>0.3</v>
      </c>
      <c r="AO182" s="78">
        <v>0.25</v>
      </c>
      <c r="AP182" s="79">
        <v>0.05</v>
      </c>
      <c r="AQ182" s="78">
        <v>0.05</v>
      </c>
      <c r="AR182" s="78">
        <v>0.02</v>
      </c>
      <c r="AS182" s="78">
        <v>0.02</v>
      </c>
      <c r="AT182" s="80">
        <v>0.01</v>
      </c>
      <c r="AU182" s="81">
        <f>SUMPRODUCT($AM$180:$AT$180,AM182:AT182)</f>
        <v>14.7</v>
      </c>
      <c r="AV182" s="82">
        <f>(SUMPRODUCT($AM$180:$AT$180,AM182:AT182))*$AV$180*AL182</f>
        <v>171890.61011459923</v>
      </c>
      <c r="AW182" s="82">
        <f>AV182/$AW$180</f>
        <v>2864.843501909987</v>
      </c>
      <c r="AX182" s="83">
        <f>AW182*(1+$AX$180)</f>
        <v>3437.8122022919842</v>
      </c>
    </row>
    <row r="183" spans="2:50" ht="15.75" customHeight="1" x14ac:dyDescent="0.25">
      <c r="B183" s="13" t="s">
        <v>33</v>
      </c>
      <c r="D183" s="84">
        <v>10793.25177792642</v>
      </c>
      <c r="E183" s="85">
        <v>0.3</v>
      </c>
      <c r="F183" s="85">
        <v>0.3</v>
      </c>
      <c r="G183" s="86">
        <v>0.2</v>
      </c>
      <c r="H183" s="87">
        <v>0.05</v>
      </c>
      <c r="I183" s="87">
        <v>0.1</v>
      </c>
      <c r="J183" s="87">
        <v>0.02</v>
      </c>
      <c r="K183" s="87">
        <v>0.02</v>
      </c>
      <c r="L183" s="88">
        <v>0.01</v>
      </c>
      <c r="M183" s="89">
        <f>SUMPRODUCT($E$180:$L$180,E183:L183)</f>
        <v>15.1</v>
      </c>
      <c r="N183" s="90">
        <f>(SUMPRODUCT($E$180:$L$180,E183:L183))*$N$180*D183</f>
        <v>32595.620369337787</v>
      </c>
      <c r="O183" s="90">
        <f>N183/$O$180</f>
        <v>543.26033948896315</v>
      </c>
      <c r="P183" s="91">
        <f>O183*(1+$P$180)</f>
        <v>651.91240738675572</v>
      </c>
      <c r="S183" s="13" t="s">
        <v>33</v>
      </c>
      <c r="U183" s="84">
        <v>14523.399592377789</v>
      </c>
      <c r="V183" s="85">
        <v>0.3</v>
      </c>
      <c r="W183" s="85">
        <v>0.3</v>
      </c>
      <c r="X183" s="86">
        <v>0.2</v>
      </c>
      <c r="Y183" s="87">
        <v>0.05</v>
      </c>
      <c r="Z183" s="87">
        <v>0.1</v>
      </c>
      <c r="AA183" s="87">
        <v>0.02</v>
      </c>
      <c r="AB183" s="87">
        <v>0.02</v>
      </c>
      <c r="AC183" s="88">
        <v>0.01</v>
      </c>
      <c r="AD183" s="89">
        <f>SUMPRODUCT($V$180:$AC$180,V183:AC183)</f>
        <v>15.1</v>
      </c>
      <c r="AE183" s="90">
        <f>(SUMPRODUCT($V$180:$AC$180,V183:AC183))*$AE$180*U183</f>
        <v>43860.666768980926</v>
      </c>
      <c r="AF183" s="90">
        <f>AE183/$AF$180</f>
        <v>731.01111281634871</v>
      </c>
      <c r="AG183" s="91">
        <f>AF183*(1+$AG$180)</f>
        <v>877.21333537961846</v>
      </c>
      <c r="AJ183" s="13" t="s">
        <v>33</v>
      </c>
      <c r="AL183" s="84">
        <v>30504.101173841926</v>
      </c>
      <c r="AM183" s="85">
        <v>0.3</v>
      </c>
      <c r="AN183" s="85">
        <v>0.3</v>
      </c>
      <c r="AO183" s="86">
        <v>0.2</v>
      </c>
      <c r="AP183" s="87">
        <v>0.05</v>
      </c>
      <c r="AQ183" s="87">
        <v>0.1</v>
      </c>
      <c r="AR183" s="87">
        <v>0.02</v>
      </c>
      <c r="AS183" s="87">
        <v>0.02</v>
      </c>
      <c r="AT183" s="88">
        <v>0.01</v>
      </c>
      <c r="AU183" s="89">
        <f>SUMPRODUCT($AM$180:$AT$180,AM183:AT183)</f>
        <v>15.1</v>
      </c>
      <c r="AV183" s="90">
        <f>(SUMPRODUCT($AM$180:$AT$180,AM183:AT183))*$AV$180*AL183</f>
        <v>92122.385545002617</v>
      </c>
      <c r="AW183" s="90">
        <f>AV183/$AW$180</f>
        <v>1535.3730924167103</v>
      </c>
      <c r="AX183" s="91">
        <f>AW183*(1+$AX$180)</f>
        <v>1842.4477109000522</v>
      </c>
    </row>
    <row r="184" spans="2:50" ht="15.75" customHeight="1" x14ac:dyDescent="0.25">
      <c r="B184" s="13" t="s">
        <v>1</v>
      </c>
      <c r="D184" s="84">
        <v>70156.136556521727</v>
      </c>
      <c r="E184" s="87">
        <v>0.05</v>
      </c>
      <c r="F184" s="92">
        <v>0.15</v>
      </c>
      <c r="G184" s="87">
        <v>0.15</v>
      </c>
      <c r="H184" s="87">
        <v>0.25</v>
      </c>
      <c r="I184" s="87">
        <v>0.22</v>
      </c>
      <c r="J184" s="87">
        <v>0.1</v>
      </c>
      <c r="K184" s="87">
        <v>0.05</v>
      </c>
      <c r="L184" s="88">
        <v>0.03</v>
      </c>
      <c r="M184" s="89">
        <f>SUMPRODUCT($E$180:$L$180,E184:L184)</f>
        <v>43.924999999999997</v>
      </c>
      <c r="N184" s="90">
        <f>(SUMPRODUCT($E$180:$L$180,E184:L184))*$N$180*D184</f>
        <v>616321.65964904334</v>
      </c>
      <c r="O184" s="90">
        <f>N184/$O$180</f>
        <v>10272.02766081739</v>
      </c>
      <c r="P184" s="91">
        <f>O184*(1+$P$180)</f>
        <v>12326.433192980867</v>
      </c>
      <c r="S184" s="13" t="s">
        <v>1</v>
      </c>
      <c r="U184" s="84">
        <v>94402.097350455631</v>
      </c>
      <c r="V184" s="87">
        <v>0.05</v>
      </c>
      <c r="W184" s="92">
        <v>0.15</v>
      </c>
      <c r="X184" s="87">
        <v>0.15</v>
      </c>
      <c r="Y184" s="87">
        <v>0.25</v>
      </c>
      <c r="Z184" s="87">
        <v>0.22</v>
      </c>
      <c r="AA184" s="87">
        <v>0.1</v>
      </c>
      <c r="AB184" s="87">
        <v>0.05</v>
      </c>
      <c r="AC184" s="88">
        <v>0.03</v>
      </c>
      <c r="AD184" s="89">
        <f>SUMPRODUCT($V$180:$AC$180,V184:AC184)</f>
        <v>43.924999999999997</v>
      </c>
      <c r="AE184" s="90">
        <f>(SUMPRODUCT($V$180:$AC$180,V184:AC184))*$AE$180*U184</f>
        <v>829322.42522375274</v>
      </c>
      <c r="AF184" s="90">
        <f>AE184/$AF$180</f>
        <v>13822.040420395879</v>
      </c>
      <c r="AG184" s="91">
        <f>AF184*(1+$AG$180)</f>
        <v>16586.448504475055</v>
      </c>
      <c r="AJ184" s="13" t="s">
        <v>1</v>
      </c>
      <c r="AL184" s="84">
        <v>198276.6576299725</v>
      </c>
      <c r="AM184" s="87">
        <v>0.05</v>
      </c>
      <c r="AN184" s="92">
        <v>0.15</v>
      </c>
      <c r="AO184" s="87">
        <v>0.15</v>
      </c>
      <c r="AP184" s="87">
        <v>0.25</v>
      </c>
      <c r="AQ184" s="87">
        <v>0.22</v>
      </c>
      <c r="AR184" s="87">
        <v>0.1</v>
      </c>
      <c r="AS184" s="87">
        <v>0.05</v>
      </c>
      <c r="AT184" s="88">
        <v>0.03</v>
      </c>
      <c r="AU184" s="89">
        <f>SUMPRODUCT($AM$180:$AT$180,AM184:AT184)</f>
        <v>43.924999999999997</v>
      </c>
      <c r="AV184" s="90">
        <f>(SUMPRODUCT($AM$180:$AT$180,AM184:AT184))*$AV$180*AL184</f>
        <v>1741860.4372793084</v>
      </c>
      <c r="AW184" s="90">
        <f>AV184/$AW$180</f>
        <v>29031.007287988476</v>
      </c>
      <c r="AX184" s="91">
        <f>AW184*(1+$AX$180)</f>
        <v>34837.208745586169</v>
      </c>
    </row>
    <row r="185" spans="2:50" ht="15.75" customHeight="1" x14ac:dyDescent="0.25">
      <c r="B185" s="13" t="s">
        <v>0</v>
      </c>
      <c r="D185" s="84">
        <v>43173.00711170568</v>
      </c>
      <c r="E185" s="87">
        <v>0.2</v>
      </c>
      <c r="F185" s="92">
        <v>0.25</v>
      </c>
      <c r="G185" s="87">
        <v>0.3</v>
      </c>
      <c r="H185" s="87">
        <v>0.15</v>
      </c>
      <c r="I185" s="87">
        <v>0.05</v>
      </c>
      <c r="J185" s="87">
        <v>0.02</v>
      </c>
      <c r="K185" s="87">
        <v>0.02</v>
      </c>
      <c r="L185" s="88">
        <v>0.01</v>
      </c>
      <c r="M185" s="89">
        <f>SUMPRODUCT($E$180:$L$180,E185:L185)</f>
        <v>15.2</v>
      </c>
      <c r="N185" s="90">
        <f>(SUMPRODUCT($E$180:$L$180,E185:L185))*$N$180*D185</f>
        <v>131245.94161958527</v>
      </c>
      <c r="O185" s="90">
        <f>N185/$O$180</f>
        <v>2187.4323603264211</v>
      </c>
      <c r="P185" s="91">
        <f>O185*(1+$P$180)</f>
        <v>2624.9188323917051</v>
      </c>
      <c r="S185" s="13" t="s">
        <v>0</v>
      </c>
      <c r="U185" s="84">
        <v>58093.598369511157</v>
      </c>
      <c r="V185" s="87">
        <v>0.2</v>
      </c>
      <c r="W185" s="92">
        <v>0.25</v>
      </c>
      <c r="X185" s="87">
        <v>0.3</v>
      </c>
      <c r="Y185" s="87">
        <v>0.15</v>
      </c>
      <c r="Z185" s="87">
        <v>0.05</v>
      </c>
      <c r="AA185" s="87">
        <v>0.02</v>
      </c>
      <c r="AB185" s="87">
        <v>0.02</v>
      </c>
      <c r="AC185" s="88">
        <v>0.01</v>
      </c>
      <c r="AD185" s="89">
        <f>SUMPRODUCT($V$180:$AC$180,V185:AC185)</f>
        <v>15.2</v>
      </c>
      <c r="AE185" s="90">
        <f>(SUMPRODUCT($V$180:$AC$180,V185:AC185))*$AE$180*U185</f>
        <v>176604.53904331391</v>
      </c>
      <c r="AF185" s="90">
        <f>AE185/$AF$180</f>
        <v>2943.4089840552319</v>
      </c>
      <c r="AG185" s="91">
        <f>AF185*(1+$AG$180)</f>
        <v>3532.0907808662782</v>
      </c>
      <c r="AJ185" s="13" t="s">
        <v>0</v>
      </c>
      <c r="AL185" s="84">
        <v>122016.4046953677</v>
      </c>
      <c r="AM185" s="87">
        <v>0.2</v>
      </c>
      <c r="AN185" s="92">
        <v>0.25</v>
      </c>
      <c r="AO185" s="87">
        <v>0.3</v>
      </c>
      <c r="AP185" s="87">
        <v>0.15</v>
      </c>
      <c r="AQ185" s="87">
        <v>0.05</v>
      </c>
      <c r="AR185" s="87">
        <v>0.02</v>
      </c>
      <c r="AS185" s="87">
        <v>0.02</v>
      </c>
      <c r="AT185" s="88">
        <v>0.01</v>
      </c>
      <c r="AU185" s="89">
        <f>SUMPRODUCT($AM$180:$AT$180,AM185:AT185)</f>
        <v>15.2</v>
      </c>
      <c r="AV185" s="90">
        <f>(SUMPRODUCT($AM$180:$AT$180,AM185:AT185))*$AV$180*AL185</f>
        <v>370929.8702739178</v>
      </c>
      <c r="AW185" s="90">
        <f>AV185/$AW$180</f>
        <v>6182.1645045652967</v>
      </c>
      <c r="AX185" s="91">
        <f>AW185*(1+$AX$180)</f>
        <v>7418.5974054783555</v>
      </c>
    </row>
    <row r="186" spans="2:50" ht="15.75" customHeight="1" x14ac:dyDescent="0.25">
      <c r="B186" s="13" t="s">
        <v>34</v>
      </c>
      <c r="D186" s="84">
        <v>93541.515408695632</v>
      </c>
      <c r="E186" s="87">
        <v>0.05</v>
      </c>
      <c r="F186" s="92">
        <v>0.15</v>
      </c>
      <c r="G186" s="87">
        <v>0.2</v>
      </c>
      <c r="H186" s="87">
        <v>0.24</v>
      </c>
      <c r="I186" s="87">
        <v>0.15</v>
      </c>
      <c r="J186" s="87">
        <v>0.15</v>
      </c>
      <c r="K186" s="87">
        <v>0.05</v>
      </c>
      <c r="L186" s="88">
        <v>0.01</v>
      </c>
      <c r="M186" s="89">
        <f>SUMPRODUCT($E$180:$L$180,E186:L186)</f>
        <v>25.774999999999999</v>
      </c>
      <c r="N186" s="90">
        <f>(SUMPRODUCT($E$180:$L$180,E186:L186))*$N$180*D186</f>
        <v>482206.51193182601</v>
      </c>
      <c r="O186" s="90">
        <f>N186/$O$180</f>
        <v>8036.7751988637665</v>
      </c>
      <c r="P186" s="91">
        <f>O186*(1+$P$180)</f>
        <v>9644.1302386365187</v>
      </c>
      <c r="S186" s="13" t="s">
        <v>34</v>
      </c>
      <c r="U186" s="84">
        <v>125869.46313394084</v>
      </c>
      <c r="V186" s="87">
        <v>0.05</v>
      </c>
      <c r="W186" s="92">
        <v>0.15</v>
      </c>
      <c r="X186" s="87">
        <v>0.2</v>
      </c>
      <c r="Y186" s="87">
        <v>0.24</v>
      </c>
      <c r="Z186" s="87">
        <v>0.15</v>
      </c>
      <c r="AA186" s="87">
        <v>0.15</v>
      </c>
      <c r="AB186" s="87">
        <v>0.05</v>
      </c>
      <c r="AC186" s="88">
        <v>0.01</v>
      </c>
      <c r="AD186" s="89">
        <f>SUMPRODUCT($V$180:$AC$180,V186:AC186)</f>
        <v>25.774999999999999</v>
      </c>
      <c r="AE186" s="90">
        <f>(SUMPRODUCT($V$180:$AC$180,V186:AC186))*$AE$180*U186</f>
        <v>648857.08245546499</v>
      </c>
      <c r="AF186" s="90">
        <f>AE186/$AF$180</f>
        <v>10814.284707591083</v>
      </c>
      <c r="AG186" s="91">
        <f>AF186*(1+$AG$180)</f>
        <v>12977.141649109299</v>
      </c>
      <c r="AJ186" s="13" t="s">
        <v>34</v>
      </c>
      <c r="AL186" s="84">
        <v>264368.87683996331</v>
      </c>
      <c r="AM186" s="87">
        <v>0.05</v>
      </c>
      <c r="AN186" s="92">
        <v>0.15</v>
      </c>
      <c r="AO186" s="87">
        <v>0.2</v>
      </c>
      <c r="AP186" s="87">
        <v>0.24</v>
      </c>
      <c r="AQ186" s="87">
        <v>0.15</v>
      </c>
      <c r="AR186" s="87">
        <v>0.15</v>
      </c>
      <c r="AS186" s="87">
        <v>0.05</v>
      </c>
      <c r="AT186" s="88">
        <v>0.01</v>
      </c>
      <c r="AU186" s="89">
        <f>SUMPRODUCT($AM$180:$AT$180,AM186:AT186)</f>
        <v>25.774999999999999</v>
      </c>
      <c r="AV186" s="90">
        <f>(SUMPRODUCT($AM$180:$AT$180,AM186:AT186))*$AV$180*AL186</f>
        <v>1362821.5601100109</v>
      </c>
      <c r="AW186" s="90">
        <f>AV186/$AW$180</f>
        <v>22713.692668500182</v>
      </c>
      <c r="AX186" s="91">
        <f>AW186*(1+$AX$180)</f>
        <v>27256.431202200216</v>
      </c>
    </row>
    <row r="187" spans="2:50" ht="15.75" customHeight="1" x14ac:dyDescent="0.25">
      <c r="B187" s="13" t="s">
        <v>35</v>
      </c>
      <c r="D187" s="84">
        <v>31480.317685618727</v>
      </c>
      <c r="E187" s="87">
        <v>0.12</v>
      </c>
      <c r="F187" s="92">
        <v>0.1</v>
      </c>
      <c r="G187" s="87">
        <v>0.1</v>
      </c>
      <c r="H187" s="87">
        <v>0.2</v>
      </c>
      <c r="I187" s="87">
        <v>0.3</v>
      </c>
      <c r="J187" s="87">
        <v>0.1</v>
      </c>
      <c r="K187" s="87">
        <v>0.05</v>
      </c>
      <c r="L187" s="88">
        <v>0.03</v>
      </c>
      <c r="M187" s="89">
        <f>SUMPRODUCT($E$180:$L$180,E187:L187)</f>
        <v>44.36</v>
      </c>
      <c r="N187" s="90">
        <f>(SUMPRODUCT($E$180:$L$180,E187:L187))*$N$180*D187</f>
        <v>279293.37850680936</v>
      </c>
      <c r="O187" s="90">
        <f>N187/$O$180</f>
        <v>4654.8896417801561</v>
      </c>
      <c r="P187" s="91">
        <f>O187*(1+$P$180)</f>
        <v>5585.8675701361872</v>
      </c>
      <c r="S187" s="13" t="s">
        <v>35</v>
      </c>
      <c r="U187" s="84">
        <v>42359.915477768554</v>
      </c>
      <c r="V187" s="87">
        <v>0.12</v>
      </c>
      <c r="W187" s="92">
        <v>0.1</v>
      </c>
      <c r="X187" s="87">
        <v>0.1</v>
      </c>
      <c r="Y187" s="87">
        <v>0.2</v>
      </c>
      <c r="Z187" s="87">
        <v>0.3</v>
      </c>
      <c r="AA187" s="87">
        <v>0.1</v>
      </c>
      <c r="AB187" s="87">
        <v>0.05</v>
      </c>
      <c r="AC187" s="88">
        <v>0.03</v>
      </c>
      <c r="AD187" s="89">
        <f>SUMPRODUCT($V$180:$AC$180,V187:AC187)</f>
        <v>44.36</v>
      </c>
      <c r="AE187" s="90">
        <f>(SUMPRODUCT($V$180:$AC$180,V187:AC187))*$AE$180*U187</f>
        <v>375817.17011876259</v>
      </c>
      <c r="AF187" s="90">
        <f>AE187/$AF$180</f>
        <v>6263.6195019793768</v>
      </c>
      <c r="AG187" s="91">
        <f>AF187*(1+$AG$180)</f>
        <v>7516.3434023752516</v>
      </c>
      <c r="AJ187" s="13" t="s">
        <v>35</v>
      </c>
      <c r="AL187" s="84">
        <v>88970.295090372281</v>
      </c>
      <c r="AM187" s="87">
        <v>0.12</v>
      </c>
      <c r="AN187" s="92">
        <v>0.1</v>
      </c>
      <c r="AO187" s="87">
        <v>0.1</v>
      </c>
      <c r="AP187" s="87">
        <v>0.2</v>
      </c>
      <c r="AQ187" s="87">
        <v>0.3</v>
      </c>
      <c r="AR187" s="87">
        <v>0.1</v>
      </c>
      <c r="AS187" s="87">
        <v>0.05</v>
      </c>
      <c r="AT187" s="88">
        <v>0.03</v>
      </c>
      <c r="AU187" s="89">
        <f>SUMPRODUCT($AM$180:$AT$180,AM187:AT187)</f>
        <v>44.36</v>
      </c>
      <c r="AV187" s="90">
        <f>(SUMPRODUCT($AM$180:$AT$180,AM187:AT187))*$AV$180*AL187</f>
        <v>789344.45804178284</v>
      </c>
      <c r="AW187" s="90">
        <f>AV187/$AW$180</f>
        <v>13155.740967363048</v>
      </c>
      <c r="AX187" s="91">
        <f>AW187*(1+$AX$180)</f>
        <v>15786.889160835657</v>
      </c>
    </row>
    <row r="188" spans="2:50" ht="31.5" customHeight="1" x14ac:dyDescent="0.25">
      <c r="B188" s="13" t="s">
        <v>36</v>
      </c>
      <c r="D188" s="84">
        <v>41374.131815384608</v>
      </c>
      <c r="E188" s="87">
        <v>0.05</v>
      </c>
      <c r="F188" s="92">
        <v>0.2</v>
      </c>
      <c r="G188" s="87">
        <v>0.3</v>
      </c>
      <c r="H188" s="87">
        <v>0.15</v>
      </c>
      <c r="I188" s="87">
        <v>0.14000000000000001</v>
      </c>
      <c r="J188" s="87">
        <v>0.1</v>
      </c>
      <c r="K188" s="87">
        <v>0.05</v>
      </c>
      <c r="L188" s="88">
        <v>0.01</v>
      </c>
      <c r="M188" s="89">
        <f>SUMPRODUCT($E$180:$L$180,E188:L188)</f>
        <v>22.975000000000001</v>
      </c>
      <c r="N188" s="90">
        <f>(SUMPRODUCT($E$180:$L$180,E188:L188))*$N$180*D188</f>
        <v>190114.1356916923</v>
      </c>
      <c r="O188" s="90">
        <f>N188/$O$180</f>
        <v>3168.5689281948717</v>
      </c>
      <c r="P188" s="91">
        <f>O188*(1+$P$180)</f>
        <v>3802.2827138338457</v>
      </c>
      <c r="S188" s="13" t="s">
        <v>36</v>
      </c>
      <c r="U188" s="84">
        <v>55673.031770781527</v>
      </c>
      <c r="V188" s="87">
        <v>0.05</v>
      </c>
      <c r="W188" s="92">
        <v>0.2</v>
      </c>
      <c r="X188" s="87">
        <v>0.3</v>
      </c>
      <c r="Y188" s="87">
        <v>0.15</v>
      </c>
      <c r="Z188" s="87">
        <v>0.14000000000000001</v>
      </c>
      <c r="AA188" s="87">
        <v>0.1</v>
      </c>
      <c r="AB188" s="87">
        <v>0.05</v>
      </c>
      <c r="AC188" s="88">
        <v>0.01</v>
      </c>
      <c r="AD188" s="89">
        <f>SUMPRODUCT($V$180:$AC$180,V188:AC188)</f>
        <v>22.975000000000001</v>
      </c>
      <c r="AE188" s="90">
        <f>(SUMPRODUCT($V$180:$AC$180,V188:AC188))*$AE$180*U188</f>
        <v>255817.58098674114</v>
      </c>
      <c r="AF188" s="90">
        <f>AE188/$AF$180</f>
        <v>4263.6263497790187</v>
      </c>
      <c r="AG188" s="91">
        <f>AF188*(1+$AG$180)</f>
        <v>5116.3516197348226</v>
      </c>
      <c r="AJ188" s="13" t="s">
        <v>36</v>
      </c>
      <c r="AL188" s="84">
        <v>116932.3878330607</v>
      </c>
      <c r="AM188" s="87">
        <v>0.05</v>
      </c>
      <c r="AN188" s="92">
        <v>0.2</v>
      </c>
      <c r="AO188" s="87">
        <v>0.3</v>
      </c>
      <c r="AP188" s="87">
        <v>0.15</v>
      </c>
      <c r="AQ188" s="87">
        <v>0.14000000000000001</v>
      </c>
      <c r="AR188" s="87">
        <v>0.1</v>
      </c>
      <c r="AS188" s="87">
        <v>0.05</v>
      </c>
      <c r="AT188" s="88">
        <v>0.01</v>
      </c>
      <c r="AU188" s="89">
        <f>SUMPRODUCT($AM$180:$AT$180,AM188:AT188)</f>
        <v>22.975000000000001</v>
      </c>
      <c r="AV188" s="90">
        <f>(SUMPRODUCT($AM$180:$AT$180,AM188:AT188))*$AV$180*AL188</f>
        <v>537304.32209291402</v>
      </c>
      <c r="AW188" s="90">
        <f>AV188/$AW$180</f>
        <v>8955.0720348818995</v>
      </c>
      <c r="AX188" s="91">
        <f>AW188*(1+$AX$180)</f>
        <v>10746.086441858279</v>
      </c>
    </row>
    <row r="189" spans="2:50" ht="15.75" customHeight="1" x14ac:dyDescent="0.25">
      <c r="B189" s="13" t="s">
        <v>37</v>
      </c>
      <c r="D189" s="84">
        <v>69256.698908361199</v>
      </c>
      <c r="E189" s="87">
        <v>0.05</v>
      </c>
      <c r="F189" s="92">
        <v>0.1</v>
      </c>
      <c r="G189" s="87">
        <v>0.1</v>
      </c>
      <c r="H189" s="87">
        <v>0.15</v>
      </c>
      <c r="I189" s="87">
        <v>0.25</v>
      </c>
      <c r="J189" s="87">
        <v>0.16</v>
      </c>
      <c r="K189" s="87">
        <v>0.15</v>
      </c>
      <c r="L189" s="88">
        <v>0.04</v>
      </c>
      <c r="M189" s="89">
        <f>SUMPRODUCT($E$180:$L$180,E189:L189)</f>
        <v>66.575000000000003</v>
      </c>
      <c r="N189" s="90">
        <f>(SUMPRODUCT($E$180:$L$180,E189:L189))*$N$180*D189</f>
        <v>922152.94596482941</v>
      </c>
      <c r="O189" s="90">
        <f>N189/$O$180</f>
        <v>15369.21576608049</v>
      </c>
      <c r="P189" s="91">
        <f>O189*(1+$P$180)</f>
        <v>18443.058919296585</v>
      </c>
      <c r="S189" s="13" t="s">
        <v>37</v>
      </c>
      <c r="U189" s="84">
        <v>93191.814051090827</v>
      </c>
      <c r="V189" s="87">
        <v>0.05</v>
      </c>
      <c r="W189" s="92">
        <v>0.1</v>
      </c>
      <c r="X189" s="87">
        <v>0.1</v>
      </c>
      <c r="Y189" s="87">
        <v>0.15</v>
      </c>
      <c r="Z189" s="87">
        <v>0.25</v>
      </c>
      <c r="AA189" s="87">
        <v>0.16</v>
      </c>
      <c r="AB189" s="87">
        <v>0.15</v>
      </c>
      <c r="AC189" s="88">
        <v>0.04</v>
      </c>
      <c r="AD189" s="89">
        <f>SUMPRODUCT($V$180:$AC$180,V189:AC189)</f>
        <v>66.575000000000003</v>
      </c>
      <c r="AE189" s="90">
        <f>(SUMPRODUCT($V$180:$AC$180,V189:AC189))*$AE$180*U189</f>
        <v>1240849.0040902745</v>
      </c>
      <c r="AF189" s="90">
        <f>AE189/$AF$180</f>
        <v>20680.816734837907</v>
      </c>
      <c r="AG189" s="91">
        <f>AF189*(1+$AG$180)</f>
        <v>24816.980081805486</v>
      </c>
      <c r="AJ189" s="13" t="s">
        <v>37</v>
      </c>
      <c r="AL189" s="84">
        <v>195734.64919881904</v>
      </c>
      <c r="AM189" s="87">
        <v>0.05</v>
      </c>
      <c r="AN189" s="92">
        <v>0.1</v>
      </c>
      <c r="AO189" s="87">
        <v>0.1</v>
      </c>
      <c r="AP189" s="87">
        <v>0.15</v>
      </c>
      <c r="AQ189" s="87">
        <v>0.25</v>
      </c>
      <c r="AR189" s="87">
        <v>0.16</v>
      </c>
      <c r="AS189" s="87">
        <v>0.15</v>
      </c>
      <c r="AT189" s="88">
        <v>0.04</v>
      </c>
      <c r="AU189" s="89">
        <f>SUMPRODUCT($AM$180:$AT$180,AM189:AT189)</f>
        <v>66.575000000000003</v>
      </c>
      <c r="AV189" s="90">
        <f>(SUMPRODUCT($AM$180:$AT$180,AM189:AT189))*$AV$180*AL189</f>
        <v>2606206.8540822756</v>
      </c>
      <c r="AW189" s="90">
        <f>AV189/$AW$180</f>
        <v>43436.780901371261</v>
      </c>
      <c r="AX189" s="91">
        <f>AW189*(1+$AX$180)</f>
        <v>52124.137081645509</v>
      </c>
    </row>
    <row r="190" spans="2:50" ht="47.25" customHeight="1" x14ac:dyDescent="0.25">
      <c r="B190" s="13" t="s">
        <v>38</v>
      </c>
      <c r="D190" s="84">
        <v>26083.691796655516</v>
      </c>
      <c r="E190" s="87">
        <v>0.3</v>
      </c>
      <c r="F190" s="92">
        <v>0.25</v>
      </c>
      <c r="G190" s="87">
        <v>0.25</v>
      </c>
      <c r="H190" s="87">
        <v>0.1</v>
      </c>
      <c r="I190" s="87">
        <v>0.05</v>
      </c>
      <c r="J190" s="87">
        <v>0.02</v>
      </c>
      <c r="K190" s="87">
        <v>0.02</v>
      </c>
      <c r="L190" s="88">
        <v>0.01</v>
      </c>
      <c r="M190" s="89">
        <f>SUMPRODUCT($E$180:$L$180,E190:L190)</f>
        <v>14.9</v>
      </c>
      <c r="N190" s="90">
        <f>(SUMPRODUCT($E$180:$L$180,E190:L190))*$N$180*D190</f>
        <v>77729.401554033451</v>
      </c>
      <c r="O190" s="90">
        <f>N190/$O$180</f>
        <v>1295.4900259005576</v>
      </c>
      <c r="P190" s="91">
        <f>O190*(1+$P$180)</f>
        <v>1554.588031080669</v>
      </c>
      <c r="S190" s="13" t="s">
        <v>38</v>
      </c>
      <c r="U190" s="84">
        <v>35098.215681579662</v>
      </c>
      <c r="V190" s="87">
        <v>0.3</v>
      </c>
      <c r="W190" s="92">
        <v>0.25</v>
      </c>
      <c r="X190" s="87">
        <v>0.25</v>
      </c>
      <c r="Y190" s="87">
        <v>0.1</v>
      </c>
      <c r="Z190" s="87">
        <v>0.05</v>
      </c>
      <c r="AA190" s="87">
        <v>0.02</v>
      </c>
      <c r="AB190" s="87">
        <v>0.02</v>
      </c>
      <c r="AC190" s="88">
        <v>0.01</v>
      </c>
      <c r="AD190" s="89">
        <f>SUMPRODUCT($V$180:$AC$180,V190:AC190)</f>
        <v>14.9</v>
      </c>
      <c r="AE190" s="90">
        <f>(SUMPRODUCT($V$180:$AC$180,V190:AC190))*$AE$180*U190</f>
        <v>104592.68273110742</v>
      </c>
      <c r="AF190" s="90">
        <f>AE190/$AF$180</f>
        <v>1743.2113788517902</v>
      </c>
      <c r="AG190" s="91">
        <f>AF190*(1+$AG$180)</f>
        <v>2091.853654622148</v>
      </c>
      <c r="AJ190" s="13" t="s">
        <v>38</v>
      </c>
      <c r="AL190" s="84">
        <v>73718.244503451322</v>
      </c>
      <c r="AM190" s="87">
        <v>0.3</v>
      </c>
      <c r="AN190" s="92">
        <v>0.25</v>
      </c>
      <c r="AO190" s="87">
        <v>0.25</v>
      </c>
      <c r="AP190" s="87">
        <v>0.1</v>
      </c>
      <c r="AQ190" s="87">
        <v>0.05</v>
      </c>
      <c r="AR190" s="87">
        <v>0.02</v>
      </c>
      <c r="AS190" s="87">
        <v>0.02</v>
      </c>
      <c r="AT190" s="88">
        <v>0.01</v>
      </c>
      <c r="AU190" s="89">
        <f>SUMPRODUCT($AM$180:$AT$180,AM190:AT190)</f>
        <v>14.9</v>
      </c>
      <c r="AV190" s="90">
        <f>(SUMPRODUCT($AM$180:$AT$180,AM190:AT190))*$AV$180*AL190</f>
        <v>219680.36862028498</v>
      </c>
      <c r="AW190" s="90">
        <f>AV190/$AW$180</f>
        <v>3661.3394770047498</v>
      </c>
      <c r="AX190" s="91">
        <f>AW190*(1+$AX$180)</f>
        <v>4393.6073724056996</v>
      </c>
    </row>
    <row r="191" spans="2:50" ht="15.75" customHeight="1" x14ac:dyDescent="0.25">
      <c r="B191" s="13" t="s">
        <v>39</v>
      </c>
      <c r="D191" s="84">
        <v>91742.64011237456</v>
      </c>
      <c r="E191" s="87">
        <v>0.1</v>
      </c>
      <c r="F191" s="92">
        <v>0.12</v>
      </c>
      <c r="G191" s="87">
        <v>0.12</v>
      </c>
      <c r="H191" s="87">
        <v>0.1</v>
      </c>
      <c r="I191" s="87">
        <v>0.18</v>
      </c>
      <c r="J191" s="87">
        <v>0.2</v>
      </c>
      <c r="K191" s="87">
        <v>0.15</v>
      </c>
      <c r="L191" s="88">
        <v>0.03</v>
      </c>
      <c r="M191" s="89">
        <f>SUMPRODUCT($E$180:$L$180,E191:L191)</f>
        <v>57.71</v>
      </c>
      <c r="N191" s="90">
        <f>(SUMPRODUCT($E$180:$L$180,E191:L191))*$N$180*D191</f>
        <v>1058893.5521770273</v>
      </c>
      <c r="O191" s="90">
        <f>N191/$O$180</f>
        <v>17648.225869617123</v>
      </c>
      <c r="P191" s="91">
        <f>O191*(1+$P$180)</f>
        <v>21177.871043540548</v>
      </c>
      <c r="S191" s="13" t="s">
        <v>39</v>
      </c>
      <c r="U191" s="84">
        <v>123448.8965352112</v>
      </c>
      <c r="V191" s="87">
        <v>0.1</v>
      </c>
      <c r="W191" s="92">
        <v>0.12</v>
      </c>
      <c r="X191" s="87">
        <v>0.12</v>
      </c>
      <c r="Y191" s="87">
        <v>0.1</v>
      </c>
      <c r="Z191" s="87">
        <v>0.18</v>
      </c>
      <c r="AA191" s="87">
        <v>0.2</v>
      </c>
      <c r="AB191" s="87">
        <v>0.15</v>
      </c>
      <c r="AC191" s="88">
        <v>0.03</v>
      </c>
      <c r="AD191" s="89">
        <f>SUMPRODUCT($V$180:$AC$180,V191:AC191)</f>
        <v>57.71</v>
      </c>
      <c r="AE191" s="90">
        <f>(SUMPRODUCT($V$180:$AC$180,V191:AC191))*$AE$180*U191</f>
        <v>1424847.163809408</v>
      </c>
      <c r="AF191" s="90">
        <f>AE191/$AF$180</f>
        <v>23747.452730156798</v>
      </c>
      <c r="AG191" s="91">
        <f>AF191*(1+$AG$180)</f>
        <v>28496.943276188158</v>
      </c>
      <c r="AJ191" s="13" t="s">
        <v>39</v>
      </c>
      <c r="AL191" s="84">
        <v>259284.85997765634</v>
      </c>
      <c r="AM191" s="87">
        <v>0.1</v>
      </c>
      <c r="AN191" s="92">
        <v>0.12</v>
      </c>
      <c r="AO191" s="87">
        <v>0.12</v>
      </c>
      <c r="AP191" s="87">
        <v>0.1</v>
      </c>
      <c r="AQ191" s="87">
        <v>0.18</v>
      </c>
      <c r="AR191" s="87">
        <v>0.2</v>
      </c>
      <c r="AS191" s="87">
        <v>0.15</v>
      </c>
      <c r="AT191" s="88">
        <v>0.03</v>
      </c>
      <c r="AU191" s="89">
        <f>SUMPRODUCT($AM$180:$AT$180,AM191:AT191)</f>
        <v>57.71</v>
      </c>
      <c r="AV191" s="90">
        <f>(SUMPRODUCT($AM$180:$AT$180,AM191:AT191))*$AV$180*AL191</f>
        <v>2992665.8538621101</v>
      </c>
      <c r="AW191" s="90">
        <f>AV191/$AW$180</f>
        <v>49877.764231035166</v>
      </c>
      <c r="AX191" s="91">
        <f>AW191*(1+$AX$180)</f>
        <v>59853.317077242195</v>
      </c>
    </row>
    <row r="192" spans="2:50" ht="15.75" customHeight="1" x14ac:dyDescent="0.25">
      <c r="B192" s="13" t="s">
        <v>3</v>
      </c>
      <c r="D192" s="84">
        <v>185284.15552107024</v>
      </c>
      <c r="E192" s="87">
        <v>0.1</v>
      </c>
      <c r="F192" s="92">
        <v>0.15</v>
      </c>
      <c r="G192" s="87">
        <v>0.2</v>
      </c>
      <c r="H192" s="87">
        <v>0.18</v>
      </c>
      <c r="I192" s="87">
        <v>0.15</v>
      </c>
      <c r="J192" s="87">
        <v>0.1</v>
      </c>
      <c r="K192" s="87">
        <v>0.1</v>
      </c>
      <c r="L192" s="88">
        <v>0.02</v>
      </c>
      <c r="M192" s="89">
        <f>SUMPRODUCT($E$180:$L$180,E192:L192)</f>
        <v>38</v>
      </c>
      <c r="N192" s="90">
        <f>(SUMPRODUCT($E$180:$L$180,E192:L192))*$N$180*D192</f>
        <v>1408159.581960134</v>
      </c>
      <c r="O192" s="90">
        <f>N192/$O$180</f>
        <v>23469.326366002231</v>
      </c>
      <c r="P192" s="91">
        <f>O192*(1+$P$180)</f>
        <v>28163.191639202676</v>
      </c>
      <c r="S192" s="13" t="s">
        <v>3</v>
      </c>
      <c r="U192" s="84">
        <v>249318.35966915209</v>
      </c>
      <c r="V192" s="87">
        <v>0.1</v>
      </c>
      <c r="W192" s="92">
        <v>0.15</v>
      </c>
      <c r="X192" s="87">
        <v>0.2</v>
      </c>
      <c r="Y192" s="87">
        <v>0.18</v>
      </c>
      <c r="Z192" s="87">
        <v>0.15</v>
      </c>
      <c r="AA192" s="87">
        <v>0.1</v>
      </c>
      <c r="AB192" s="87">
        <v>0.1</v>
      </c>
      <c r="AC192" s="88">
        <v>0.02</v>
      </c>
      <c r="AD192" s="89">
        <f>SUMPRODUCT($V$180:$AC$180,V192:AC192)</f>
        <v>38</v>
      </c>
      <c r="AE192" s="90">
        <f>(SUMPRODUCT($V$180:$AC$180,V192:AC192))*$AE$180*U192</f>
        <v>1894819.533485556</v>
      </c>
      <c r="AF192" s="90">
        <f>AE192/$AF$180</f>
        <v>31580.325558092602</v>
      </c>
      <c r="AG192" s="91">
        <f>AF192*(1+$AG$180)</f>
        <v>37896.390669711123</v>
      </c>
      <c r="AJ192" s="13" t="s">
        <v>3</v>
      </c>
      <c r="AL192" s="84">
        <v>523653.73681761976</v>
      </c>
      <c r="AM192" s="87">
        <v>0.1</v>
      </c>
      <c r="AN192" s="92">
        <v>0.15</v>
      </c>
      <c r="AO192" s="87">
        <v>0.2</v>
      </c>
      <c r="AP192" s="87">
        <v>0.18</v>
      </c>
      <c r="AQ192" s="87">
        <v>0.15</v>
      </c>
      <c r="AR192" s="87">
        <v>0.1</v>
      </c>
      <c r="AS192" s="87">
        <v>0.1</v>
      </c>
      <c r="AT192" s="88">
        <v>0.02</v>
      </c>
      <c r="AU192" s="89">
        <f>SUMPRODUCT($AM$180:$AT$180,AM192:AT192)</f>
        <v>38</v>
      </c>
      <c r="AV192" s="90">
        <f>(SUMPRODUCT($AM$180:$AT$180,AM192:AT192))*$AV$180*AL192</f>
        <v>3979768.3998139105</v>
      </c>
      <c r="AW192" s="90">
        <f>AV192/$AW$180</f>
        <v>66329.473330231835</v>
      </c>
      <c r="AX192" s="91">
        <f>AW192*(1+$AX$180)</f>
        <v>79595.367996278204</v>
      </c>
    </row>
    <row r="193" spans="2:50" ht="31.5" customHeight="1" x14ac:dyDescent="0.25">
      <c r="B193" s="13" t="s">
        <v>40</v>
      </c>
      <c r="D193" s="84">
        <v>21586.50355585284</v>
      </c>
      <c r="E193" s="87">
        <v>0.25</v>
      </c>
      <c r="F193" s="92">
        <v>0.2</v>
      </c>
      <c r="G193" s="87">
        <v>0.17</v>
      </c>
      <c r="H193" s="87">
        <v>0.15</v>
      </c>
      <c r="I193" s="87">
        <v>0.1</v>
      </c>
      <c r="J193" s="87">
        <v>0.1</v>
      </c>
      <c r="K193" s="87">
        <v>0.02</v>
      </c>
      <c r="L193" s="88">
        <v>0.01</v>
      </c>
      <c r="M193" s="89">
        <f>SUMPRODUCT($E$180:$L$180,E193:L193)</f>
        <v>19.414999999999999</v>
      </c>
      <c r="N193" s="90">
        <f>(SUMPRODUCT($E$180:$L$180,E193:L193))*$N$180*D193</f>
        <v>83820.39330737658</v>
      </c>
      <c r="O193" s="90">
        <f>N193/$O$180</f>
        <v>1397.0065551229429</v>
      </c>
      <c r="P193" s="91">
        <f>O193*(1+$P$180)</f>
        <v>1676.4078661475314</v>
      </c>
      <c r="S193" s="13" t="s">
        <v>40</v>
      </c>
      <c r="U193" s="84">
        <v>29046.799184755579</v>
      </c>
      <c r="V193" s="87">
        <v>0.25</v>
      </c>
      <c r="W193" s="92">
        <v>0.2</v>
      </c>
      <c r="X193" s="87">
        <v>0.17</v>
      </c>
      <c r="Y193" s="87">
        <v>0.15</v>
      </c>
      <c r="Z193" s="87">
        <v>0.1</v>
      </c>
      <c r="AA193" s="87">
        <v>0.1</v>
      </c>
      <c r="AB193" s="87">
        <v>0.02</v>
      </c>
      <c r="AC193" s="88">
        <v>0.01</v>
      </c>
      <c r="AD193" s="89">
        <f>SUMPRODUCT($V$180:$AC$180,V193:AC193)</f>
        <v>19.414999999999999</v>
      </c>
      <c r="AE193" s="90">
        <f>(SUMPRODUCT($V$180:$AC$180,V193:AC193))*$AE$180*U193</f>
        <v>112788.72123440591</v>
      </c>
      <c r="AF193" s="90">
        <f>AE193/$AF$180</f>
        <v>1879.8120205734317</v>
      </c>
      <c r="AG193" s="91">
        <f>AF193*(1+$AG$180)</f>
        <v>2255.774424688118</v>
      </c>
      <c r="AJ193" s="13" t="s">
        <v>40</v>
      </c>
      <c r="AL193" s="84">
        <v>61008.202347683851</v>
      </c>
      <c r="AM193" s="87">
        <v>0.25</v>
      </c>
      <c r="AN193" s="92">
        <v>0.2</v>
      </c>
      <c r="AO193" s="87">
        <v>0.17</v>
      </c>
      <c r="AP193" s="87">
        <v>0.15</v>
      </c>
      <c r="AQ193" s="87">
        <v>0.1</v>
      </c>
      <c r="AR193" s="87">
        <v>0.1</v>
      </c>
      <c r="AS193" s="87">
        <v>0.02</v>
      </c>
      <c r="AT193" s="88">
        <v>0.01</v>
      </c>
      <c r="AU193" s="89">
        <f>SUMPRODUCT($AM$180:$AT$180,AM193:AT193)</f>
        <v>19.414999999999999</v>
      </c>
      <c r="AV193" s="90">
        <f>(SUMPRODUCT($AM$180:$AT$180,AM193:AT193))*$AV$180*AL193</f>
        <v>236894.8497160564</v>
      </c>
      <c r="AW193" s="90">
        <f>AV193/$AW$180</f>
        <v>3948.2474952676066</v>
      </c>
      <c r="AX193" s="91">
        <f>AW193*(1+$AX$180)</f>
        <v>4737.8969943211277</v>
      </c>
    </row>
    <row r="194" spans="2:50" ht="15.75" customHeight="1" x14ac:dyDescent="0.25">
      <c r="B194" s="13" t="s">
        <v>2</v>
      </c>
      <c r="D194" s="84">
        <v>74653.324797324414</v>
      </c>
      <c r="E194" s="87">
        <v>0.3</v>
      </c>
      <c r="F194" s="92">
        <v>0.27</v>
      </c>
      <c r="G194" s="87">
        <v>0.2</v>
      </c>
      <c r="H194" s="87">
        <v>0.05</v>
      </c>
      <c r="I194" s="87">
        <v>0.1</v>
      </c>
      <c r="J194" s="87">
        <v>0.05</v>
      </c>
      <c r="K194" s="87">
        <v>0.02</v>
      </c>
      <c r="L194" s="88">
        <v>0.01</v>
      </c>
      <c r="M194" s="89">
        <f>SUMPRODUCT($E$180:$L$180,E194:L194)</f>
        <v>16.57</v>
      </c>
      <c r="N194" s="90">
        <f>(SUMPRODUCT($E$180:$L$180,E194:L194))*$N$180*D194</f>
        <v>247401.11837833311</v>
      </c>
      <c r="O194" s="90">
        <f>N194/$O$180</f>
        <v>4123.3519729722184</v>
      </c>
      <c r="P194" s="91">
        <f>O194*(1+$P$180)</f>
        <v>4948.0223675666621</v>
      </c>
      <c r="S194" s="13" t="s">
        <v>2</v>
      </c>
      <c r="U194" s="84">
        <v>100453.51384727973</v>
      </c>
      <c r="V194" s="87">
        <v>0.3</v>
      </c>
      <c r="W194" s="92">
        <v>0.27</v>
      </c>
      <c r="X194" s="87">
        <v>0.2</v>
      </c>
      <c r="Y194" s="87">
        <v>0.05</v>
      </c>
      <c r="Z194" s="87">
        <v>0.1</v>
      </c>
      <c r="AA194" s="87">
        <v>0.05</v>
      </c>
      <c r="AB194" s="87">
        <v>0.02</v>
      </c>
      <c r="AC194" s="88">
        <v>0.01</v>
      </c>
      <c r="AD194" s="89">
        <f>SUMPRODUCT($V$180:$AC$180,V194:AC194)</f>
        <v>16.57</v>
      </c>
      <c r="AE194" s="90">
        <f>(SUMPRODUCT($V$180:$AC$180,V194:AC194))*$AE$180*U194</f>
        <v>332902.94488988502</v>
      </c>
      <c r="AF194" s="90">
        <f>AE194/$AF$180</f>
        <v>5548.382414831417</v>
      </c>
      <c r="AG194" s="91">
        <f>AF194*(1+$AG$180)</f>
        <v>6658.0588977977004</v>
      </c>
      <c r="AJ194" s="13" t="s">
        <v>2</v>
      </c>
      <c r="AL194" s="84">
        <v>210986.69978574</v>
      </c>
      <c r="AM194" s="87">
        <v>0.3</v>
      </c>
      <c r="AN194" s="92">
        <v>0.27</v>
      </c>
      <c r="AO194" s="87">
        <v>0.2</v>
      </c>
      <c r="AP194" s="87">
        <v>0.05</v>
      </c>
      <c r="AQ194" s="87">
        <v>0.1</v>
      </c>
      <c r="AR194" s="87">
        <v>0.05</v>
      </c>
      <c r="AS194" s="87">
        <v>0.02</v>
      </c>
      <c r="AT194" s="88">
        <v>0.01</v>
      </c>
      <c r="AU194" s="89">
        <f>SUMPRODUCT($AM$180:$AT$180,AM194:AT194)</f>
        <v>16.57</v>
      </c>
      <c r="AV194" s="90">
        <f>(SUMPRODUCT($AM$180:$AT$180,AM194:AT194))*$AV$180*AL194</f>
        <v>699209.92308994231</v>
      </c>
      <c r="AW194" s="90">
        <f>AV194/$AW$180</f>
        <v>11653.498718165705</v>
      </c>
      <c r="AX194" s="91">
        <f>AW194*(1+$AX$180)</f>
        <v>13984.198461798846</v>
      </c>
    </row>
    <row r="195" spans="2:50" ht="15.75" customHeight="1" x14ac:dyDescent="0.25">
      <c r="B195" s="13" t="s">
        <v>41</v>
      </c>
      <c r="D195" s="84">
        <v>29681.442389297656</v>
      </c>
      <c r="E195" s="87">
        <v>0.1</v>
      </c>
      <c r="F195" s="92">
        <v>0.14000000000000001</v>
      </c>
      <c r="G195" s="87">
        <v>0.15</v>
      </c>
      <c r="H195" s="87">
        <v>0.2</v>
      </c>
      <c r="I195" s="87">
        <v>0.25</v>
      </c>
      <c r="J195" s="87">
        <v>0.1</v>
      </c>
      <c r="K195" s="87">
        <v>0.05</v>
      </c>
      <c r="L195" s="88">
        <v>0.01</v>
      </c>
      <c r="M195" s="89">
        <f>SUMPRODUCT($E$180:$L$180,E195:L195)</f>
        <v>23.990000000000002</v>
      </c>
      <c r="N195" s="90">
        <f>(SUMPRODUCT($E$180:$L$180,E195:L195))*$N$180*D195</f>
        <v>142411.56058385017</v>
      </c>
      <c r="O195" s="90">
        <f>N195/$O$180</f>
        <v>2373.526009730836</v>
      </c>
      <c r="P195" s="91">
        <f>O195*(1+$P$180)</f>
        <v>2848.2312116770031</v>
      </c>
      <c r="S195" s="13" t="s">
        <v>41</v>
      </c>
      <c r="U195" s="84">
        <v>39939.348879038924</v>
      </c>
      <c r="V195" s="87">
        <v>0.1</v>
      </c>
      <c r="W195" s="92">
        <v>0.14000000000000001</v>
      </c>
      <c r="X195" s="87">
        <v>0.15</v>
      </c>
      <c r="Y195" s="87">
        <v>0.2</v>
      </c>
      <c r="Z195" s="87">
        <v>0.25</v>
      </c>
      <c r="AA195" s="87">
        <v>0.1</v>
      </c>
      <c r="AB195" s="87">
        <v>0.05</v>
      </c>
      <c r="AC195" s="88">
        <v>0.01</v>
      </c>
      <c r="AD195" s="89">
        <f>SUMPRODUCT($V$180:$AC$180,V195:AC195)</f>
        <v>23.990000000000002</v>
      </c>
      <c r="AE195" s="90">
        <f>(SUMPRODUCT($V$180:$AC$180,V195:AC195))*$AE$180*U195</f>
        <v>191628.99592162878</v>
      </c>
      <c r="AF195" s="90">
        <f>AE195/$AF$180</f>
        <v>3193.8165986938129</v>
      </c>
      <c r="AG195" s="91">
        <f>AF195*(1+$AG$180)</f>
        <v>3832.5799184325751</v>
      </c>
      <c r="AJ195" s="13" t="s">
        <v>41</v>
      </c>
      <c r="AL195" s="84">
        <v>83886.27822806529</v>
      </c>
      <c r="AM195" s="87">
        <v>0.1</v>
      </c>
      <c r="AN195" s="92">
        <v>0.14000000000000001</v>
      </c>
      <c r="AO195" s="87">
        <v>0.15</v>
      </c>
      <c r="AP195" s="87">
        <v>0.2</v>
      </c>
      <c r="AQ195" s="87">
        <v>0.25</v>
      </c>
      <c r="AR195" s="87">
        <v>0.1</v>
      </c>
      <c r="AS195" s="87">
        <v>0.05</v>
      </c>
      <c r="AT195" s="88">
        <v>0.01</v>
      </c>
      <c r="AU195" s="89">
        <f>SUMPRODUCT($AM$180:$AT$180,AM195:AT195)</f>
        <v>23.990000000000002</v>
      </c>
      <c r="AV195" s="90">
        <f>(SUMPRODUCT($AM$180:$AT$180,AM195:AT195))*$AV$180*AL195</f>
        <v>402486.36293825734</v>
      </c>
      <c r="AW195" s="90">
        <f>AV195/$AW$180</f>
        <v>6708.1060489709553</v>
      </c>
      <c r="AX195" s="91">
        <f>AW195*(1+$AX$180)</f>
        <v>8049.727258765146</v>
      </c>
    </row>
    <row r="196" spans="2:50" ht="15.75" customHeight="1" x14ac:dyDescent="0.25">
      <c r="B196" s="13" t="s">
        <v>42</v>
      </c>
      <c r="D196" s="84">
        <v>57564.009482274239</v>
      </c>
      <c r="E196" s="87">
        <v>0.1</v>
      </c>
      <c r="F196" s="92">
        <v>0.15</v>
      </c>
      <c r="G196" s="87">
        <v>0.2</v>
      </c>
      <c r="H196" s="87">
        <v>0.22</v>
      </c>
      <c r="I196" s="87">
        <v>0.2</v>
      </c>
      <c r="J196" s="87">
        <v>0.1</v>
      </c>
      <c r="K196" s="87">
        <v>0.02</v>
      </c>
      <c r="L196" s="88">
        <v>0.01</v>
      </c>
      <c r="M196" s="89">
        <f>SUMPRODUCT($E$180:$L$180,E196:L196)</f>
        <v>20.7</v>
      </c>
      <c r="N196" s="90">
        <f>(SUMPRODUCT($E$180:$L$180,E196:L196))*$N$180*D196</f>
        <v>238314.99925661532</v>
      </c>
      <c r="O196" s="90">
        <f>N196/$O$180</f>
        <v>3971.9166542769221</v>
      </c>
      <c r="P196" s="91">
        <f>O196*(1+$P$180)</f>
        <v>4766.2999851323066</v>
      </c>
      <c r="S196" s="13" t="s">
        <v>42</v>
      </c>
      <c r="U196" s="84">
        <v>77458.13115934821</v>
      </c>
      <c r="V196" s="87">
        <v>0.1</v>
      </c>
      <c r="W196" s="92">
        <v>0.15</v>
      </c>
      <c r="X196" s="87">
        <v>0.2</v>
      </c>
      <c r="Y196" s="87">
        <v>0.22</v>
      </c>
      <c r="Z196" s="87">
        <v>0.2</v>
      </c>
      <c r="AA196" s="87">
        <v>0.1</v>
      </c>
      <c r="AB196" s="87">
        <v>0.02</v>
      </c>
      <c r="AC196" s="88">
        <v>0.01</v>
      </c>
      <c r="AD196" s="89">
        <f>SUMPRODUCT($V$180:$AC$180,V196:AC196)</f>
        <v>20.7</v>
      </c>
      <c r="AE196" s="90">
        <f>(SUMPRODUCT($V$180:$AC$180,V196:AC196))*$AE$180*U196</f>
        <v>320676.66299970157</v>
      </c>
      <c r="AF196" s="90">
        <f>AE196/$AF$180</f>
        <v>5344.6110499950264</v>
      </c>
      <c r="AG196" s="91">
        <f>AF196*(1+$AG$180)</f>
        <v>6413.5332599940311</v>
      </c>
      <c r="AJ196" s="13" t="s">
        <v>42</v>
      </c>
      <c r="AL196" s="84">
        <v>162688.5395938236</v>
      </c>
      <c r="AM196" s="87">
        <v>0.1</v>
      </c>
      <c r="AN196" s="92">
        <v>0.15</v>
      </c>
      <c r="AO196" s="87">
        <v>0.2</v>
      </c>
      <c r="AP196" s="87">
        <v>0.22</v>
      </c>
      <c r="AQ196" s="87">
        <v>0.2</v>
      </c>
      <c r="AR196" s="87">
        <v>0.1</v>
      </c>
      <c r="AS196" s="87">
        <v>0.02</v>
      </c>
      <c r="AT196" s="88">
        <v>0.01</v>
      </c>
      <c r="AU196" s="89">
        <f>SUMPRODUCT($AM$180:$AT$180,AM196:AT196)</f>
        <v>20.7</v>
      </c>
      <c r="AV196" s="90">
        <f>(SUMPRODUCT($AM$180:$AT$180,AM196:AT196))*$AV$180*AL196</f>
        <v>673530.55391842965</v>
      </c>
      <c r="AW196" s="90">
        <f>AV196/$AW$180</f>
        <v>11225.509231973827</v>
      </c>
      <c r="AX196" s="91">
        <f>AW196*(1+$AX$180)</f>
        <v>13470.611078368593</v>
      </c>
    </row>
    <row r="197" spans="2:50" ht="15.75" customHeight="1" x14ac:dyDescent="0.25">
      <c r="B197" s="13" t="s">
        <v>43</v>
      </c>
      <c r="D197" s="84">
        <v>710932.75183946488</v>
      </c>
      <c r="E197" s="87">
        <v>0.05</v>
      </c>
      <c r="F197" s="92">
        <v>0.05</v>
      </c>
      <c r="G197" s="87">
        <v>0.1</v>
      </c>
      <c r="H197" s="87">
        <v>0.1</v>
      </c>
      <c r="I197" s="87">
        <v>0.15</v>
      </c>
      <c r="J197" s="87">
        <v>0.2</v>
      </c>
      <c r="K197" s="87">
        <v>0.25</v>
      </c>
      <c r="L197" s="88">
        <v>0.1</v>
      </c>
      <c r="M197" s="89">
        <f>SUMPRODUCT($E$180:$L$180,E197:L197)</f>
        <v>137.27500000000001</v>
      </c>
      <c r="N197" s="90">
        <f>(SUMPRODUCT($E$180:$L$180,E197:L197))*$N$180*D197</f>
        <v>19518658.70175251</v>
      </c>
      <c r="O197" s="90">
        <f>N197/$O$180</f>
        <v>325310.97836254182</v>
      </c>
      <c r="P197" s="91">
        <f>O197*(1+$P$180)</f>
        <v>390373.17403505015</v>
      </c>
      <c r="S197" s="13" t="s">
        <v>43</v>
      </c>
      <c r="U197" s="84">
        <v>732835.99034669809</v>
      </c>
      <c r="V197" s="87">
        <v>0.05</v>
      </c>
      <c r="W197" s="92">
        <v>0.05</v>
      </c>
      <c r="X197" s="87">
        <v>0.1</v>
      </c>
      <c r="Y197" s="87">
        <v>0.1</v>
      </c>
      <c r="Z197" s="87">
        <v>0.15</v>
      </c>
      <c r="AA197" s="87">
        <v>0.2</v>
      </c>
      <c r="AB197" s="87">
        <v>0.25</v>
      </c>
      <c r="AC197" s="88">
        <v>0.1</v>
      </c>
      <c r="AD197" s="89">
        <f>SUMPRODUCT($V$180:$AC$180,V197:AC197)</f>
        <v>137.27500000000001</v>
      </c>
      <c r="AE197" s="90">
        <f>(SUMPRODUCT($V$180:$AC$180,V197:AC197))*$AE$180*U197</f>
        <v>20120012.114968598</v>
      </c>
      <c r="AF197" s="90">
        <f>AE197/$AF$180</f>
        <v>335333.53524947661</v>
      </c>
      <c r="AG197" s="91">
        <f>AF197*(1+$AG$180)</f>
        <v>402400.24229937192</v>
      </c>
      <c r="AJ197" s="13" t="s">
        <v>43</v>
      </c>
      <c r="AL197" s="84">
        <v>781074.75317813153</v>
      </c>
      <c r="AM197" s="87">
        <v>0.05</v>
      </c>
      <c r="AN197" s="92">
        <v>0.05</v>
      </c>
      <c r="AO197" s="87">
        <v>0.1</v>
      </c>
      <c r="AP197" s="87">
        <v>0.1</v>
      </c>
      <c r="AQ197" s="87">
        <v>0.15</v>
      </c>
      <c r="AR197" s="87">
        <v>0.2</v>
      </c>
      <c r="AS197" s="87">
        <v>0.25</v>
      </c>
      <c r="AT197" s="88">
        <v>0.1</v>
      </c>
      <c r="AU197" s="89">
        <f>SUMPRODUCT($AM$180:$AT$180,AM197:AT197)</f>
        <v>137.27500000000001</v>
      </c>
      <c r="AV197" s="90">
        <f>(SUMPRODUCT($AM$180:$AT$180,AM197:AT197))*$AV$180*AL197</f>
        <v>21444407.348505601</v>
      </c>
      <c r="AW197" s="90">
        <f>AV197/$AW$180</f>
        <v>357406.78914176003</v>
      </c>
      <c r="AX197" s="91">
        <f>AW197*(1+$AX$180)</f>
        <v>428888.14697011205</v>
      </c>
    </row>
    <row r="198" spans="2:50" ht="15.75" customHeight="1" thickBot="1" x14ac:dyDescent="0.3">
      <c r="B198" s="103" t="s">
        <v>44</v>
      </c>
      <c r="D198" s="93">
        <v>52619.726027397264</v>
      </c>
      <c r="E198" s="94">
        <v>0.05</v>
      </c>
      <c r="F198" s="94">
        <v>0.13</v>
      </c>
      <c r="G198" s="95">
        <v>0.2</v>
      </c>
      <c r="H198" s="95">
        <v>0.25</v>
      </c>
      <c r="I198" s="95">
        <v>0.2</v>
      </c>
      <c r="J198" s="95">
        <v>0.1</v>
      </c>
      <c r="K198" s="95">
        <v>0.05</v>
      </c>
      <c r="L198" s="96">
        <v>0.02</v>
      </c>
      <c r="M198" s="97">
        <f>SUMPRODUCT($E$180:$L$180,E198:L198)</f>
        <v>33.805</v>
      </c>
      <c r="N198" s="98">
        <f>(SUMPRODUCT($E$180:$L$180,E198:L198))*$N$180*D198</f>
        <v>355761.96767123294</v>
      </c>
      <c r="O198" s="98">
        <f>N198/$O$180</f>
        <v>5929.3661278538821</v>
      </c>
      <c r="P198" s="99">
        <f>O198*(1+$P$180)</f>
        <v>7115.2393534246585</v>
      </c>
      <c r="S198" s="103" t="s">
        <v>44</v>
      </c>
      <c r="U198" s="93">
        <v>57462.05631506849</v>
      </c>
      <c r="V198" s="94">
        <v>0.05</v>
      </c>
      <c r="W198" s="94">
        <v>0.13</v>
      </c>
      <c r="X198" s="95">
        <v>0.2</v>
      </c>
      <c r="Y198" s="95">
        <v>0.25</v>
      </c>
      <c r="Z198" s="95">
        <v>0.2</v>
      </c>
      <c r="AA198" s="95">
        <v>0.1</v>
      </c>
      <c r="AB198" s="95">
        <v>0.05</v>
      </c>
      <c r="AC198" s="96">
        <v>0.02</v>
      </c>
      <c r="AD198" s="97">
        <f>SUMPRODUCT($V$180:$AC$180,V198:AC198)</f>
        <v>33.805</v>
      </c>
      <c r="AE198" s="98">
        <f>(SUMPRODUCT($V$180:$AC$180,V198:AC198))*$AE$180*U198</f>
        <v>388500.96274617809</v>
      </c>
      <c r="AF198" s="98">
        <f>AE198/$AF$180</f>
        <v>6475.0160457696347</v>
      </c>
      <c r="AG198" s="99">
        <f>AF198*(1+$AG$180)</f>
        <v>7770.0192549235617</v>
      </c>
      <c r="AJ198" s="103" t="s">
        <v>44</v>
      </c>
      <c r="AL198" s="93">
        <v>71951.455900496163</v>
      </c>
      <c r="AM198" s="94">
        <v>0.05</v>
      </c>
      <c r="AN198" s="94">
        <v>0.13</v>
      </c>
      <c r="AO198" s="95">
        <v>0.2</v>
      </c>
      <c r="AP198" s="95">
        <v>0.25</v>
      </c>
      <c r="AQ198" s="95">
        <v>0.2</v>
      </c>
      <c r="AR198" s="95">
        <v>0.1</v>
      </c>
      <c r="AS198" s="95">
        <v>0.05</v>
      </c>
      <c r="AT198" s="96">
        <v>0.02</v>
      </c>
      <c r="AU198" s="97">
        <f>SUMPRODUCT($AM$180:$AT$180,AM198:AT198)</f>
        <v>33.805</v>
      </c>
      <c r="AV198" s="98">
        <f>(SUMPRODUCT($AM$180:$AT$180,AM198:AT198))*$AV$180*AL198</f>
        <v>486463.79334325454</v>
      </c>
      <c r="AW198" s="98">
        <f>AV198/$AW$180</f>
        <v>8107.7298890542424</v>
      </c>
      <c r="AX198" s="99">
        <f>AW198*(1+$AX$180)</f>
        <v>9729.2758668650913</v>
      </c>
    </row>
    <row r="199" spans="2:50" ht="15.75" customHeight="1" x14ac:dyDescent="0.25">
      <c r="B199" s="104" t="s">
        <v>182</v>
      </c>
      <c r="D199" s="100">
        <f>SUM(D182:D198)</f>
        <v>1630610.3706936177</v>
      </c>
      <c r="M199" s="8"/>
      <c r="N199" s="100">
        <f>SUM(N182:N198)</f>
        <v>25845901.444142852</v>
      </c>
      <c r="O199" s="101">
        <f>N199/$O$180</f>
        <v>430765.02406904753</v>
      </c>
      <c r="P199" s="101">
        <f>O199*(1+$P$180)</f>
        <v>516918.028882857</v>
      </c>
      <c r="S199" s="104" t="s">
        <v>182</v>
      </c>
      <c r="U199" s="100">
        <f>SUM(U182:U198)</f>
        <v>1957011.1472494488</v>
      </c>
      <c r="AD199" s="8"/>
      <c r="AE199" s="100">
        <f>SUM(AE182:AE198)</f>
        <v>28543737.608176809</v>
      </c>
      <c r="AF199" s="101">
        <f>AE199/$AF$180</f>
        <v>475728.96013628016</v>
      </c>
      <c r="AG199" s="101">
        <f>AF199*(1+$AG$180)</f>
        <v>570874.75216353615</v>
      </c>
      <c r="AJ199" s="104" t="s">
        <v>182</v>
      </c>
      <c r="AL199" s="100">
        <f>SUM(AL182:AL198)</f>
        <v>3303522.336710596</v>
      </c>
      <c r="AU199" s="8"/>
      <c r="AV199" s="100">
        <f>SUM(AV182:AV198)</f>
        <v>38807587.951347657</v>
      </c>
      <c r="AW199" s="101">
        <f>AV199/$AW$180</f>
        <v>646793.13252246089</v>
      </c>
      <c r="AX199" s="101">
        <f>AW199*(1+$AX$180)</f>
        <v>776151.75902695302</v>
      </c>
    </row>
    <row r="200" spans="2:50" ht="15" customHeight="1" x14ac:dyDescent="0.25">
      <c r="M200" s="8"/>
      <c r="N200" s="8">
        <f>N199/D199</f>
        <v>15.850445887418649</v>
      </c>
      <c r="O200" s="8">
        <f>N200/$O$180</f>
        <v>0.26417409812364417</v>
      </c>
      <c r="P200" s="8">
        <f>O200*(1+$P$180)</f>
        <v>0.31700891774837298</v>
      </c>
      <c r="AD200" s="8"/>
      <c r="AE200" s="8">
        <f>AE199/U199</f>
        <v>14.58537303085607</v>
      </c>
      <c r="AF200" s="8">
        <f>AE200/$AF$180</f>
        <v>0.24308955051426784</v>
      </c>
      <c r="AG200" s="8">
        <f>AF200*(1+$AG$180)</f>
        <v>0.29170746061712138</v>
      </c>
      <c r="AU200" s="8"/>
      <c r="AV200" s="8">
        <f>AV199/AL199</f>
        <v>11.74733632647067</v>
      </c>
      <c r="AW200" s="8">
        <f>AV200/$AW$180</f>
        <v>0.19578893877451117</v>
      </c>
      <c r="AX200" s="8">
        <f>AW200*(1+$AX$180)</f>
        <v>0.2349467265294134</v>
      </c>
    </row>
    <row r="204" spans="2:50" ht="15" customHeight="1" x14ac:dyDescent="0.25">
      <c r="C204">
        <v>2023</v>
      </c>
      <c r="T204">
        <v>2025</v>
      </c>
      <c r="AK204">
        <v>2030</v>
      </c>
    </row>
    <row r="205" spans="2:50" ht="20.100000000000001" customHeight="1" x14ac:dyDescent="0.25">
      <c r="C205" s="102" t="s">
        <v>17</v>
      </c>
      <c r="T205" s="102" t="s">
        <v>17</v>
      </c>
      <c r="AK205" s="102" t="s">
        <v>17</v>
      </c>
    </row>
    <row r="206" spans="2:50" ht="15" customHeight="1" thickBot="1" x14ac:dyDescent="0.3"/>
    <row r="207" spans="2:50" ht="55.35" customHeight="1" thickBot="1" x14ac:dyDescent="0.3">
      <c r="B207" s="138" t="s">
        <v>5</v>
      </c>
      <c r="C207" s="8"/>
      <c r="D207" s="140" t="s">
        <v>46</v>
      </c>
      <c r="E207" s="142" t="s">
        <v>25</v>
      </c>
      <c r="F207" s="143"/>
      <c r="G207" s="143"/>
      <c r="H207" s="143"/>
      <c r="I207" s="143"/>
      <c r="J207" s="143"/>
      <c r="K207" s="143"/>
      <c r="L207" s="144"/>
      <c r="M207" s="145" t="s">
        <v>6</v>
      </c>
      <c r="N207" s="9" t="s">
        <v>7</v>
      </c>
      <c r="O207" s="9" t="s">
        <v>8</v>
      </c>
      <c r="P207" s="9" t="s">
        <v>9</v>
      </c>
      <c r="S207" s="138" t="s">
        <v>5</v>
      </c>
      <c r="T207" s="8"/>
      <c r="U207" s="140" t="s">
        <v>46</v>
      </c>
      <c r="V207" s="142" t="s">
        <v>25</v>
      </c>
      <c r="W207" s="143"/>
      <c r="X207" s="143"/>
      <c r="Y207" s="143"/>
      <c r="Z207" s="143"/>
      <c r="AA207" s="143"/>
      <c r="AB207" s="143"/>
      <c r="AC207" s="144"/>
      <c r="AD207" s="145" t="s">
        <v>6</v>
      </c>
      <c r="AE207" s="9" t="s">
        <v>7</v>
      </c>
      <c r="AF207" s="9" t="s">
        <v>8</v>
      </c>
      <c r="AG207" s="9" t="s">
        <v>9</v>
      </c>
      <c r="AJ207" s="138" t="s">
        <v>5</v>
      </c>
      <c r="AK207" s="8"/>
      <c r="AL207" s="140" t="s">
        <v>46</v>
      </c>
      <c r="AM207" s="142" t="s">
        <v>25</v>
      </c>
      <c r="AN207" s="143"/>
      <c r="AO207" s="143"/>
      <c r="AP207" s="143"/>
      <c r="AQ207" s="143"/>
      <c r="AR207" s="143"/>
      <c r="AS207" s="143"/>
      <c r="AT207" s="144"/>
      <c r="AU207" s="145" t="s">
        <v>6</v>
      </c>
      <c r="AV207" s="9" t="s">
        <v>7</v>
      </c>
      <c r="AW207" s="9" t="s">
        <v>8</v>
      </c>
      <c r="AX207" s="9" t="s">
        <v>9</v>
      </c>
    </row>
    <row r="208" spans="2:50" ht="16.5" customHeight="1" thickBot="1" x14ac:dyDescent="0.3">
      <c r="B208" s="139"/>
      <c r="C208" s="8"/>
      <c r="D208" s="141"/>
      <c r="E208" s="10">
        <v>0.5</v>
      </c>
      <c r="F208" s="10">
        <v>1</v>
      </c>
      <c r="G208" s="10">
        <v>2</v>
      </c>
      <c r="H208" s="10">
        <v>5</v>
      </c>
      <c r="I208" s="10">
        <v>10</v>
      </c>
      <c r="J208" s="10">
        <v>50</v>
      </c>
      <c r="K208" s="10">
        <v>100</v>
      </c>
      <c r="L208" s="10">
        <v>1000</v>
      </c>
      <c r="M208" s="146"/>
      <c r="N208" s="59">
        <f>'Network Parameters'!$C$8</f>
        <v>0.2</v>
      </c>
      <c r="O208" s="60">
        <f>'Network Parameters'!$C$9</f>
        <v>60</v>
      </c>
      <c r="P208" s="61">
        <f>'Network Parameters'!$C$10</f>
        <v>0.2</v>
      </c>
      <c r="S208" s="139"/>
      <c r="T208" s="8"/>
      <c r="U208" s="141"/>
      <c r="V208" s="10">
        <v>0.5</v>
      </c>
      <c r="W208" s="10">
        <v>1</v>
      </c>
      <c r="X208" s="10">
        <v>2</v>
      </c>
      <c r="Y208" s="10">
        <v>5</v>
      </c>
      <c r="Z208" s="10">
        <v>10</v>
      </c>
      <c r="AA208" s="10">
        <v>50</v>
      </c>
      <c r="AB208" s="10">
        <v>100</v>
      </c>
      <c r="AC208" s="10">
        <v>1000</v>
      </c>
      <c r="AD208" s="146"/>
      <c r="AE208" s="59">
        <f>'Network Parameters'!$C$8</f>
        <v>0.2</v>
      </c>
      <c r="AF208" s="60">
        <f>'Network Parameters'!$C$9</f>
        <v>60</v>
      </c>
      <c r="AG208" s="61">
        <f>'Network Parameters'!$C$10</f>
        <v>0.2</v>
      </c>
      <c r="AJ208" s="139"/>
      <c r="AK208" s="8"/>
      <c r="AL208" s="141"/>
      <c r="AM208" s="10">
        <v>0.5</v>
      </c>
      <c r="AN208" s="10">
        <v>1</v>
      </c>
      <c r="AO208" s="10">
        <v>2</v>
      </c>
      <c r="AP208" s="10">
        <v>5</v>
      </c>
      <c r="AQ208" s="10">
        <v>10</v>
      </c>
      <c r="AR208" s="10">
        <v>50</v>
      </c>
      <c r="AS208" s="10">
        <v>100</v>
      </c>
      <c r="AT208" s="10">
        <v>1000</v>
      </c>
      <c r="AU208" s="146"/>
      <c r="AV208" s="59">
        <f>'Network Parameters'!$C$8</f>
        <v>0.2</v>
      </c>
      <c r="AW208" s="60">
        <f>'Network Parameters'!$C$9</f>
        <v>60</v>
      </c>
      <c r="AX208" s="61">
        <f>'Network Parameters'!$C$10</f>
        <v>0.2</v>
      </c>
    </row>
    <row r="209" spans="2:50" ht="15" customHeight="1" thickBot="1" x14ac:dyDescent="0.3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</row>
    <row r="210" spans="2:50" ht="41.25" customHeight="1" x14ac:dyDescent="0.25">
      <c r="B210" s="13" t="s">
        <v>32</v>
      </c>
      <c r="D210" s="77">
        <v>12859.129578595315</v>
      </c>
      <c r="E210" s="78">
        <v>0.3</v>
      </c>
      <c r="F210" s="78">
        <v>0.3</v>
      </c>
      <c r="G210" s="78">
        <v>0.25</v>
      </c>
      <c r="H210" s="79">
        <v>0.05</v>
      </c>
      <c r="I210" s="78">
        <v>0.05</v>
      </c>
      <c r="J210" s="78">
        <v>0.02</v>
      </c>
      <c r="K210" s="78">
        <v>0.02</v>
      </c>
      <c r="L210" s="80">
        <v>0.01</v>
      </c>
      <c r="M210" s="81">
        <f>SUMPRODUCT($E$208:$L$208,E210:L210)</f>
        <v>14.7</v>
      </c>
      <c r="N210" s="82">
        <f>(SUMPRODUCT($E$208:$L$208,E210:L210))*$N$208*D210</f>
        <v>37805.840961070229</v>
      </c>
      <c r="O210" s="82">
        <f>N210/$O$208</f>
        <v>630.09734935117046</v>
      </c>
      <c r="P210" s="83">
        <f>O210*(1+$P$208)</f>
        <v>756.11681922140451</v>
      </c>
      <c r="S210" s="13" t="s">
        <v>32</v>
      </c>
      <c r="U210" s="77">
        <v>17303.244760957856</v>
      </c>
      <c r="V210" s="78">
        <v>0.3</v>
      </c>
      <c r="W210" s="78">
        <v>0.3</v>
      </c>
      <c r="X210" s="78">
        <v>0.25</v>
      </c>
      <c r="Y210" s="79">
        <v>0.05</v>
      </c>
      <c r="Z210" s="78">
        <v>0.05</v>
      </c>
      <c r="AA210" s="78">
        <v>0.02</v>
      </c>
      <c r="AB210" s="78">
        <v>0.02</v>
      </c>
      <c r="AC210" s="80">
        <v>0.01</v>
      </c>
      <c r="AD210" s="81">
        <f>SUMPRODUCT($V$208:$AC$208,V210:AC210)</f>
        <v>14.7</v>
      </c>
      <c r="AE210" s="82">
        <f>(SUMPRODUCT($V$208:$AC$208,V210:AC210))*$AE$208*U210</f>
        <v>50871.539597216099</v>
      </c>
      <c r="AF210" s="82">
        <f>AE210/$AF$208</f>
        <v>847.85899328693495</v>
      </c>
      <c r="AG210" s="83">
        <f>AF210*(1+$AG$208)</f>
        <v>1017.4307919443219</v>
      </c>
      <c r="AJ210" s="13" t="s">
        <v>32</v>
      </c>
      <c r="AL210" s="77">
        <v>36342.725783088732</v>
      </c>
      <c r="AM210" s="78">
        <v>0.3</v>
      </c>
      <c r="AN210" s="78">
        <v>0.3</v>
      </c>
      <c r="AO210" s="78">
        <v>0.25</v>
      </c>
      <c r="AP210" s="79">
        <v>0.05</v>
      </c>
      <c r="AQ210" s="78">
        <v>0.05</v>
      </c>
      <c r="AR210" s="78">
        <v>0.02</v>
      </c>
      <c r="AS210" s="78">
        <v>0.02</v>
      </c>
      <c r="AT210" s="80">
        <v>0.01</v>
      </c>
      <c r="AU210" s="81">
        <f>SUMPRODUCT($AM$208:$AT$208,AM210:AT210)</f>
        <v>14.7</v>
      </c>
      <c r="AV210" s="82">
        <f>(SUMPRODUCT($AM$208:$AT$208,AM210:AT210))*$AV$208*AL210</f>
        <v>106847.61380228087</v>
      </c>
      <c r="AW210" s="82">
        <f>AV210/$AW$208</f>
        <v>1780.793563371348</v>
      </c>
      <c r="AX210" s="83">
        <f>AW210*(1+$AX$208)</f>
        <v>2136.9522760456175</v>
      </c>
    </row>
    <row r="211" spans="2:50" ht="15.75" customHeight="1" x14ac:dyDescent="0.25">
      <c r="B211" s="13" t="s">
        <v>33</v>
      </c>
      <c r="D211" s="84">
        <v>4018.4779933110362</v>
      </c>
      <c r="E211" s="85">
        <v>0.3</v>
      </c>
      <c r="F211" s="85">
        <v>0.3</v>
      </c>
      <c r="G211" s="86">
        <v>0.2</v>
      </c>
      <c r="H211" s="87">
        <v>0.05</v>
      </c>
      <c r="I211" s="87">
        <v>0.1</v>
      </c>
      <c r="J211" s="87">
        <v>0.02</v>
      </c>
      <c r="K211" s="87">
        <v>0.02</v>
      </c>
      <c r="L211" s="88">
        <v>0.01</v>
      </c>
      <c r="M211" s="89">
        <f>SUMPRODUCT($E$208:$L$208,E211:L211)</f>
        <v>15.1</v>
      </c>
      <c r="N211" s="90">
        <f>(SUMPRODUCT($E$208:$L$208,E211:L211))*$N$208*D211</f>
        <v>12135.80353979933</v>
      </c>
      <c r="O211" s="90">
        <f>N211/$O$208</f>
        <v>202.26339232998882</v>
      </c>
      <c r="P211" s="91">
        <f>O211*(1+$P$208)</f>
        <v>242.71607079598658</v>
      </c>
      <c r="S211" s="13" t="s">
        <v>33</v>
      </c>
      <c r="U211" s="84">
        <v>5407.2639877993297</v>
      </c>
      <c r="V211" s="85">
        <v>0.3</v>
      </c>
      <c r="W211" s="85">
        <v>0.3</v>
      </c>
      <c r="X211" s="86">
        <v>0.2</v>
      </c>
      <c r="Y211" s="87">
        <v>0.05</v>
      </c>
      <c r="Z211" s="87">
        <v>0.1</v>
      </c>
      <c r="AA211" s="87">
        <v>0.02</v>
      </c>
      <c r="AB211" s="87">
        <v>0.02</v>
      </c>
      <c r="AC211" s="88">
        <v>0.01</v>
      </c>
      <c r="AD211" s="89">
        <f>SUMPRODUCT($V$208:$AC$208,V211:AC211)</f>
        <v>15.1</v>
      </c>
      <c r="AE211" s="90">
        <f>(SUMPRODUCT($V$208:$AC$208,V211:AC211))*$AE$208*U211</f>
        <v>16329.937243153976</v>
      </c>
      <c r="AF211" s="90">
        <f>AE211/$AF$208</f>
        <v>272.16562071923295</v>
      </c>
      <c r="AG211" s="91">
        <f>AF211*(1+$AG$208)</f>
        <v>326.5987448630795</v>
      </c>
      <c r="AJ211" s="13" t="s">
        <v>33</v>
      </c>
      <c r="AL211" s="84">
        <v>11357.101807215229</v>
      </c>
      <c r="AM211" s="85">
        <v>0.3</v>
      </c>
      <c r="AN211" s="85">
        <v>0.3</v>
      </c>
      <c r="AO211" s="86">
        <v>0.2</v>
      </c>
      <c r="AP211" s="87">
        <v>0.05</v>
      </c>
      <c r="AQ211" s="87">
        <v>0.1</v>
      </c>
      <c r="AR211" s="87">
        <v>0.02</v>
      </c>
      <c r="AS211" s="87">
        <v>0.02</v>
      </c>
      <c r="AT211" s="88">
        <v>0.01</v>
      </c>
      <c r="AU211" s="89">
        <f>SUMPRODUCT($AM$208:$AT$208,AM211:AT211)</f>
        <v>15.1</v>
      </c>
      <c r="AV211" s="90">
        <f>(SUMPRODUCT($AM$208:$AT$208,AM211:AT211))*$AV$208*AL211</f>
        <v>34298.447457789989</v>
      </c>
      <c r="AW211" s="90">
        <f>AV211/$AW$208</f>
        <v>571.64079096316652</v>
      </c>
      <c r="AX211" s="91">
        <f>AW211*(1+$AX$208)</f>
        <v>685.96894915579981</v>
      </c>
    </row>
    <row r="212" spans="2:50" ht="15.75" customHeight="1" x14ac:dyDescent="0.25">
      <c r="B212" s="13" t="s">
        <v>1</v>
      </c>
      <c r="D212" s="84">
        <v>43399.562327759195</v>
      </c>
      <c r="E212" s="87">
        <v>0.05</v>
      </c>
      <c r="F212" s="92">
        <v>0.15</v>
      </c>
      <c r="G212" s="87">
        <v>0.15</v>
      </c>
      <c r="H212" s="87">
        <v>0.25</v>
      </c>
      <c r="I212" s="87">
        <v>0.22</v>
      </c>
      <c r="J212" s="87">
        <v>0.1</v>
      </c>
      <c r="K212" s="87">
        <v>0.05</v>
      </c>
      <c r="L212" s="88">
        <v>0.03</v>
      </c>
      <c r="M212" s="89">
        <f>SUMPRODUCT($E$208:$L$208,E212:L212)</f>
        <v>43.924999999999997</v>
      </c>
      <c r="N212" s="90">
        <f>(SUMPRODUCT($E$208:$L$208,E212:L212))*$N$208*D212</f>
        <v>381265.15504936455</v>
      </c>
      <c r="O212" s="90">
        <f>N212/$O$208</f>
        <v>6354.4192508227425</v>
      </c>
      <c r="P212" s="91">
        <f>O212*(1+$P$208)</f>
        <v>7625.3031009872902</v>
      </c>
      <c r="S212" s="13" t="s">
        <v>1</v>
      </c>
      <c r="U212" s="84">
        <v>58398.451068232767</v>
      </c>
      <c r="V212" s="87">
        <v>0.05</v>
      </c>
      <c r="W212" s="92">
        <v>0.15</v>
      </c>
      <c r="X212" s="87">
        <v>0.15</v>
      </c>
      <c r="Y212" s="87">
        <v>0.25</v>
      </c>
      <c r="Z212" s="87">
        <v>0.22</v>
      </c>
      <c r="AA212" s="87">
        <v>0.1</v>
      </c>
      <c r="AB212" s="87">
        <v>0.05</v>
      </c>
      <c r="AC212" s="88">
        <v>0.03</v>
      </c>
      <c r="AD212" s="89">
        <f>SUMPRODUCT($V$208:$AC$208,V212:AC212)</f>
        <v>43.924999999999997</v>
      </c>
      <c r="AE212" s="90">
        <f>(SUMPRODUCT($V$208:$AC$208,V212:AC212))*$AE$208*U212</f>
        <v>513030.39263442485</v>
      </c>
      <c r="AF212" s="90">
        <f>AE212/$AF$208</f>
        <v>8550.5065439070804</v>
      </c>
      <c r="AG212" s="91">
        <f>AF212*(1+$AG$208)</f>
        <v>10260.607852688496</v>
      </c>
      <c r="AJ212" s="13" t="s">
        <v>1</v>
      </c>
      <c r="AL212" s="84">
        <v>122656.69951792447</v>
      </c>
      <c r="AM212" s="87">
        <v>0.05</v>
      </c>
      <c r="AN212" s="92">
        <v>0.15</v>
      </c>
      <c r="AO212" s="87">
        <v>0.15</v>
      </c>
      <c r="AP212" s="87">
        <v>0.25</v>
      </c>
      <c r="AQ212" s="87">
        <v>0.22</v>
      </c>
      <c r="AR212" s="87">
        <v>0.1</v>
      </c>
      <c r="AS212" s="87">
        <v>0.05</v>
      </c>
      <c r="AT212" s="88">
        <v>0.03</v>
      </c>
      <c r="AU212" s="89">
        <f>SUMPRODUCT($AM$208:$AT$208,AM212:AT212)</f>
        <v>43.924999999999997</v>
      </c>
      <c r="AV212" s="90">
        <f>(SUMPRODUCT($AM$208:$AT$208,AM212:AT212))*$AV$208*AL212</f>
        <v>1077539.1052649664</v>
      </c>
      <c r="AW212" s="90">
        <f>AV212/$AW$208</f>
        <v>17958.985087749439</v>
      </c>
      <c r="AX212" s="91">
        <f>AW212*(1+$AX$208)</f>
        <v>21550.782105299328</v>
      </c>
    </row>
    <row r="213" spans="2:50" ht="15.75" customHeight="1" x14ac:dyDescent="0.25">
      <c r="B213" s="13" t="s">
        <v>0</v>
      </c>
      <c r="D213" s="84">
        <v>24914.563558528425</v>
      </c>
      <c r="E213" s="87">
        <v>0.2</v>
      </c>
      <c r="F213" s="92">
        <v>0.25</v>
      </c>
      <c r="G213" s="87">
        <v>0.3</v>
      </c>
      <c r="H213" s="87">
        <v>0.15</v>
      </c>
      <c r="I213" s="87">
        <v>0.05</v>
      </c>
      <c r="J213" s="87">
        <v>0.02</v>
      </c>
      <c r="K213" s="87">
        <v>0.02</v>
      </c>
      <c r="L213" s="88">
        <v>0.01</v>
      </c>
      <c r="M213" s="89">
        <f>SUMPRODUCT($E$208:$L$208,E213:L213)</f>
        <v>15.2</v>
      </c>
      <c r="N213" s="90">
        <f>(SUMPRODUCT($E$208:$L$208,E213:L213))*$N$208*D213</f>
        <v>75740.273217926413</v>
      </c>
      <c r="O213" s="90">
        <f>N213/$O$208</f>
        <v>1262.3378869654402</v>
      </c>
      <c r="P213" s="91">
        <f>O213*(1+$P$208)</f>
        <v>1514.8054643585283</v>
      </c>
      <c r="S213" s="13" t="s">
        <v>0</v>
      </c>
      <c r="U213" s="84">
        <v>33525.03672435585</v>
      </c>
      <c r="V213" s="87">
        <v>0.2</v>
      </c>
      <c r="W213" s="92">
        <v>0.25</v>
      </c>
      <c r="X213" s="87">
        <v>0.3</v>
      </c>
      <c r="Y213" s="87">
        <v>0.15</v>
      </c>
      <c r="Z213" s="87">
        <v>0.05</v>
      </c>
      <c r="AA213" s="87">
        <v>0.02</v>
      </c>
      <c r="AB213" s="87">
        <v>0.02</v>
      </c>
      <c r="AC213" s="88">
        <v>0.01</v>
      </c>
      <c r="AD213" s="89">
        <f>SUMPRODUCT($V$208:$AC$208,V213:AC213)</f>
        <v>15.2</v>
      </c>
      <c r="AE213" s="90">
        <f>(SUMPRODUCT($V$208:$AC$208,V213:AC213))*$AE$208*U213</f>
        <v>101916.11164204178</v>
      </c>
      <c r="AF213" s="90">
        <f>AE213/$AF$208</f>
        <v>1698.6018607006963</v>
      </c>
      <c r="AG213" s="91">
        <f>AF213*(1+$AG$208)</f>
        <v>2038.3222328408356</v>
      </c>
      <c r="AJ213" s="13" t="s">
        <v>0</v>
      </c>
      <c r="AL213" s="84">
        <v>70414.03120473442</v>
      </c>
      <c r="AM213" s="87">
        <v>0.2</v>
      </c>
      <c r="AN213" s="92">
        <v>0.25</v>
      </c>
      <c r="AO213" s="87">
        <v>0.3</v>
      </c>
      <c r="AP213" s="87">
        <v>0.15</v>
      </c>
      <c r="AQ213" s="87">
        <v>0.05</v>
      </c>
      <c r="AR213" s="87">
        <v>0.02</v>
      </c>
      <c r="AS213" s="87">
        <v>0.02</v>
      </c>
      <c r="AT213" s="88">
        <v>0.01</v>
      </c>
      <c r="AU213" s="89">
        <f>SUMPRODUCT($AM$208:$AT$208,AM213:AT213)</f>
        <v>15.2</v>
      </c>
      <c r="AV213" s="90">
        <f>(SUMPRODUCT($AM$208:$AT$208,AM213:AT213))*$AV$208*AL213</f>
        <v>214058.65486239264</v>
      </c>
      <c r="AW213" s="90">
        <f>AV213/$AW$208</f>
        <v>3567.6442477065439</v>
      </c>
      <c r="AX213" s="91">
        <f>AW213*(1+$AX$208)</f>
        <v>4281.1730972478526</v>
      </c>
    </row>
    <row r="214" spans="2:50" ht="15.75" customHeight="1" x14ac:dyDescent="0.25">
      <c r="B214" s="13" t="s">
        <v>34</v>
      </c>
      <c r="D214" s="84">
        <v>48221.735919732433</v>
      </c>
      <c r="E214" s="87">
        <v>0.05</v>
      </c>
      <c r="F214" s="92">
        <v>0.15</v>
      </c>
      <c r="G214" s="87">
        <v>0.2</v>
      </c>
      <c r="H214" s="87">
        <v>0.24</v>
      </c>
      <c r="I214" s="87">
        <v>0.15</v>
      </c>
      <c r="J214" s="87">
        <v>0.15</v>
      </c>
      <c r="K214" s="87">
        <v>0.05</v>
      </c>
      <c r="L214" s="88">
        <v>0.01</v>
      </c>
      <c r="M214" s="89">
        <f>SUMPRODUCT($E$208:$L$208,E214:L214)</f>
        <v>25.774999999999999</v>
      </c>
      <c r="N214" s="90">
        <f>(SUMPRODUCT($E$208:$L$208,E214:L214))*$N$208*D214</f>
        <v>248583.04866622071</v>
      </c>
      <c r="O214" s="90">
        <f>N214/$O$208</f>
        <v>4143.0508111036788</v>
      </c>
      <c r="P214" s="91">
        <f>O214*(1+$P$208)</f>
        <v>4971.660973324414</v>
      </c>
      <c r="S214" s="13" t="s">
        <v>34</v>
      </c>
      <c r="U214" s="84">
        <v>64887.167853591956</v>
      </c>
      <c r="V214" s="87">
        <v>0.05</v>
      </c>
      <c r="W214" s="92">
        <v>0.15</v>
      </c>
      <c r="X214" s="87">
        <v>0.2</v>
      </c>
      <c r="Y214" s="87">
        <v>0.24</v>
      </c>
      <c r="Z214" s="87">
        <v>0.15</v>
      </c>
      <c r="AA214" s="87">
        <v>0.15</v>
      </c>
      <c r="AB214" s="87">
        <v>0.05</v>
      </c>
      <c r="AC214" s="88">
        <v>0.01</v>
      </c>
      <c r="AD214" s="89">
        <f>SUMPRODUCT($V$208:$AC$208,V214:AC214)</f>
        <v>25.774999999999999</v>
      </c>
      <c r="AE214" s="90">
        <f>(SUMPRODUCT($V$208:$AC$208,V214:AC214))*$AE$208*U214</f>
        <v>334493.35028526653</v>
      </c>
      <c r="AF214" s="90">
        <f>AE214/$AF$208</f>
        <v>5574.8891714211086</v>
      </c>
      <c r="AG214" s="91">
        <f>AF214*(1+$AG$208)</f>
        <v>6689.8670057053305</v>
      </c>
      <c r="AJ214" s="13" t="s">
        <v>34</v>
      </c>
      <c r="AL214" s="84">
        <v>136285.22168658272</v>
      </c>
      <c r="AM214" s="87">
        <v>0.05</v>
      </c>
      <c r="AN214" s="92">
        <v>0.15</v>
      </c>
      <c r="AO214" s="87">
        <v>0.2</v>
      </c>
      <c r="AP214" s="87">
        <v>0.24</v>
      </c>
      <c r="AQ214" s="87">
        <v>0.15</v>
      </c>
      <c r="AR214" s="87">
        <v>0.15</v>
      </c>
      <c r="AS214" s="87">
        <v>0.05</v>
      </c>
      <c r="AT214" s="88">
        <v>0.01</v>
      </c>
      <c r="AU214" s="89">
        <f>SUMPRODUCT($AM$208:$AT$208,AM214:AT214)</f>
        <v>25.774999999999999</v>
      </c>
      <c r="AV214" s="90">
        <f>(SUMPRODUCT($AM$208:$AT$208,AM214:AT214))*$AV$208*AL214</f>
        <v>702550.31779433391</v>
      </c>
      <c r="AW214" s="90">
        <f>AV214/$AW$208</f>
        <v>11709.171963238898</v>
      </c>
      <c r="AX214" s="91">
        <f>AW214*(1+$AX$208)</f>
        <v>14051.006355886677</v>
      </c>
    </row>
    <row r="215" spans="2:50" ht="15.75" customHeight="1" x14ac:dyDescent="0.25">
      <c r="B215" s="13" t="s">
        <v>35</v>
      </c>
      <c r="D215" s="84">
        <v>19690.542167224077</v>
      </c>
      <c r="E215" s="87">
        <v>0.12</v>
      </c>
      <c r="F215" s="92">
        <v>0.1</v>
      </c>
      <c r="G215" s="87">
        <v>0.1</v>
      </c>
      <c r="H215" s="87">
        <v>0.2</v>
      </c>
      <c r="I215" s="87">
        <v>0.3</v>
      </c>
      <c r="J215" s="87">
        <v>0.1</v>
      </c>
      <c r="K215" s="87">
        <v>0.05</v>
      </c>
      <c r="L215" s="88">
        <v>0.03</v>
      </c>
      <c r="M215" s="89">
        <f>SUMPRODUCT($E$208:$L$208,E215:L215)</f>
        <v>44.36</v>
      </c>
      <c r="N215" s="90">
        <f>(SUMPRODUCT($E$208:$L$208,E215:L215))*$N$208*D215</f>
        <v>174694.49010761201</v>
      </c>
      <c r="O215" s="90">
        <f>N215/$O$208</f>
        <v>2911.5748351268671</v>
      </c>
      <c r="P215" s="91">
        <f>O215*(1+$P$208)</f>
        <v>3493.8898021522405</v>
      </c>
      <c r="S215" s="13" t="s">
        <v>35</v>
      </c>
      <c r="U215" s="84">
        <v>26495.593540216716</v>
      </c>
      <c r="V215" s="87">
        <v>0.12</v>
      </c>
      <c r="W215" s="92">
        <v>0.1</v>
      </c>
      <c r="X215" s="87">
        <v>0.1</v>
      </c>
      <c r="Y215" s="87">
        <v>0.2</v>
      </c>
      <c r="Z215" s="87">
        <v>0.3</v>
      </c>
      <c r="AA215" s="87">
        <v>0.1</v>
      </c>
      <c r="AB215" s="87">
        <v>0.05</v>
      </c>
      <c r="AC215" s="88">
        <v>0.03</v>
      </c>
      <c r="AD215" s="89">
        <f>SUMPRODUCT($V$208:$AC$208,V215:AC215)</f>
        <v>44.36</v>
      </c>
      <c r="AE215" s="90">
        <f>(SUMPRODUCT($V$208:$AC$208,V215:AC215))*$AE$208*U215</f>
        <v>235068.90588880269</v>
      </c>
      <c r="AF215" s="90">
        <f>AE215/$AF$208</f>
        <v>3917.8150981467115</v>
      </c>
      <c r="AG215" s="91">
        <f>AF215*(1+$AG$208)</f>
        <v>4701.3781177760538</v>
      </c>
      <c r="AJ215" s="13" t="s">
        <v>35</v>
      </c>
      <c r="AL215" s="84">
        <v>55649.798855354617</v>
      </c>
      <c r="AM215" s="87">
        <v>0.12</v>
      </c>
      <c r="AN215" s="92">
        <v>0.1</v>
      </c>
      <c r="AO215" s="87">
        <v>0.1</v>
      </c>
      <c r="AP215" s="87">
        <v>0.2</v>
      </c>
      <c r="AQ215" s="87">
        <v>0.3</v>
      </c>
      <c r="AR215" s="87">
        <v>0.1</v>
      </c>
      <c r="AS215" s="87">
        <v>0.05</v>
      </c>
      <c r="AT215" s="88">
        <v>0.03</v>
      </c>
      <c r="AU215" s="89">
        <f>SUMPRODUCT($AM$208:$AT$208,AM215:AT215)</f>
        <v>44.36</v>
      </c>
      <c r="AV215" s="90">
        <f>(SUMPRODUCT($AM$208:$AT$208,AM215:AT215))*$AV$208*AL215</f>
        <v>493725.01544470614</v>
      </c>
      <c r="AW215" s="90">
        <f>AV215/$AW$208</f>
        <v>8228.7502574117698</v>
      </c>
      <c r="AX215" s="91">
        <f>AW215*(1+$AX$208)</f>
        <v>9874.500308894123</v>
      </c>
    </row>
    <row r="216" spans="2:50" ht="31.5" customHeight="1" x14ac:dyDescent="0.25">
      <c r="B216" s="13" t="s">
        <v>36</v>
      </c>
      <c r="D216" s="84">
        <v>13662.825177257522</v>
      </c>
      <c r="E216" s="87">
        <v>0.05</v>
      </c>
      <c r="F216" s="92">
        <v>0.2</v>
      </c>
      <c r="G216" s="87">
        <v>0.3</v>
      </c>
      <c r="H216" s="87">
        <v>0.15</v>
      </c>
      <c r="I216" s="87">
        <v>0.14000000000000001</v>
      </c>
      <c r="J216" s="87">
        <v>0.1</v>
      </c>
      <c r="K216" s="87">
        <v>0.05</v>
      </c>
      <c r="L216" s="88">
        <v>0.01</v>
      </c>
      <c r="M216" s="89">
        <f>SUMPRODUCT($E$208:$L$208,E216:L216)</f>
        <v>22.975000000000001</v>
      </c>
      <c r="N216" s="90">
        <f>(SUMPRODUCT($E$208:$L$208,E216:L216))*$N$208*D216</f>
        <v>62780.68168949832</v>
      </c>
      <c r="O216" s="90">
        <f>N216/$O$208</f>
        <v>1046.3446948249721</v>
      </c>
      <c r="P216" s="91">
        <f>O216*(1+$P$208)</f>
        <v>1255.6136337899663</v>
      </c>
      <c r="S216" s="13" t="s">
        <v>36</v>
      </c>
      <c r="U216" s="84">
        <v>18384.697558517721</v>
      </c>
      <c r="V216" s="87">
        <v>0.05</v>
      </c>
      <c r="W216" s="92">
        <v>0.2</v>
      </c>
      <c r="X216" s="87">
        <v>0.3</v>
      </c>
      <c r="Y216" s="87">
        <v>0.15</v>
      </c>
      <c r="Z216" s="87">
        <v>0.14000000000000001</v>
      </c>
      <c r="AA216" s="87">
        <v>0.1</v>
      </c>
      <c r="AB216" s="87">
        <v>0.05</v>
      </c>
      <c r="AC216" s="88">
        <v>0.01</v>
      </c>
      <c r="AD216" s="89">
        <f>SUMPRODUCT($V$208:$AC$208,V216:AC216)</f>
        <v>22.975000000000001</v>
      </c>
      <c r="AE216" s="90">
        <f>(SUMPRODUCT($V$208:$AC$208,V216:AC216))*$AE$208*U216</f>
        <v>84477.685281388942</v>
      </c>
      <c r="AF216" s="90">
        <f>AE216/$AF$208</f>
        <v>1407.9614213564823</v>
      </c>
      <c r="AG216" s="91">
        <f>AF216*(1+$AG$208)</f>
        <v>1689.5537056277788</v>
      </c>
      <c r="AJ216" s="13" t="s">
        <v>36</v>
      </c>
      <c r="AL216" s="84">
        <v>38614.146144531776</v>
      </c>
      <c r="AM216" s="87">
        <v>0.05</v>
      </c>
      <c r="AN216" s="92">
        <v>0.2</v>
      </c>
      <c r="AO216" s="87">
        <v>0.3</v>
      </c>
      <c r="AP216" s="87">
        <v>0.15</v>
      </c>
      <c r="AQ216" s="87">
        <v>0.14000000000000001</v>
      </c>
      <c r="AR216" s="87">
        <v>0.1</v>
      </c>
      <c r="AS216" s="87">
        <v>0.05</v>
      </c>
      <c r="AT216" s="88">
        <v>0.01</v>
      </c>
      <c r="AU216" s="89">
        <f>SUMPRODUCT($AM$208:$AT$208,AM216:AT216)</f>
        <v>22.975000000000001</v>
      </c>
      <c r="AV216" s="90">
        <f>(SUMPRODUCT($AM$208:$AT$208,AM216:AT216))*$AV$208*AL216</f>
        <v>177432.00153412353</v>
      </c>
      <c r="AW216" s="90">
        <f>AV216/$AW$208</f>
        <v>2957.2000255687253</v>
      </c>
      <c r="AX216" s="91">
        <f>AW216*(1+$AX$208)</f>
        <v>3548.6400306824703</v>
      </c>
    </row>
    <row r="217" spans="2:50" ht="15.75" customHeight="1" x14ac:dyDescent="0.25">
      <c r="B217" s="13" t="s">
        <v>37</v>
      </c>
      <c r="D217" s="84">
        <v>20896.085565217389</v>
      </c>
      <c r="E217" s="87">
        <v>0.05</v>
      </c>
      <c r="F217" s="92">
        <v>0.1</v>
      </c>
      <c r="G217" s="87">
        <v>0.1</v>
      </c>
      <c r="H217" s="87">
        <v>0.15</v>
      </c>
      <c r="I217" s="87">
        <v>0.25</v>
      </c>
      <c r="J217" s="87">
        <v>0.16</v>
      </c>
      <c r="K217" s="87">
        <v>0.15</v>
      </c>
      <c r="L217" s="88">
        <v>0.04</v>
      </c>
      <c r="M217" s="89">
        <f>SUMPRODUCT($E$208:$L$208,E217:L217)</f>
        <v>66.575000000000003</v>
      </c>
      <c r="N217" s="90">
        <f>(SUMPRODUCT($E$208:$L$208,E217:L217))*$N$208*D217</f>
        <v>278231.37930086954</v>
      </c>
      <c r="O217" s="90">
        <f>N217/$O$208</f>
        <v>4637.189655014492</v>
      </c>
      <c r="P217" s="91">
        <f>O217*(1+$P$208)</f>
        <v>5564.6275860173901</v>
      </c>
      <c r="S217" s="13" t="s">
        <v>37</v>
      </c>
      <c r="U217" s="84">
        <v>28117.772736556515</v>
      </c>
      <c r="V217" s="87">
        <v>0.05</v>
      </c>
      <c r="W217" s="92">
        <v>0.1</v>
      </c>
      <c r="X217" s="87">
        <v>0.1</v>
      </c>
      <c r="Y217" s="87">
        <v>0.15</v>
      </c>
      <c r="Z217" s="87">
        <v>0.25</v>
      </c>
      <c r="AA217" s="87">
        <v>0.16</v>
      </c>
      <c r="AB217" s="87">
        <v>0.15</v>
      </c>
      <c r="AC217" s="88">
        <v>0.04</v>
      </c>
      <c r="AD217" s="89">
        <f>SUMPRODUCT($V$208:$AC$208,V217:AC217)</f>
        <v>66.575000000000003</v>
      </c>
      <c r="AE217" s="90">
        <f>(SUMPRODUCT($V$208:$AC$208,V217:AC217))*$AE$208*U217</f>
        <v>374388.14398725005</v>
      </c>
      <c r="AF217" s="90">
        <f>AE217/$AF$208</f>
        <v>6239.8023997875007</v>
      </c>
      <c r="AG217" s="91">
        <f>AF217*(1+$AG$208)</f>
        <v>7487.7628797450006</v>
      </c>
      <c r="AJ217" s="13" t="s">
        <v>37</v>
      </c>
      <c r="AL217" s="84">
        <v>59056.92939751919</v>
      </c>
      <c r="AM217" s="87">
        <v>0.05</v>
      </c>
      <c r="AN217" s="92">
        <v>0.1</v>
      </c>
      <c r="AO217" s="87">
        <v>0.1</v>
      </c>
      <c r="AP217" s="87">
        <v>0.15</v>
      </c>
      <c r="AQ217" s="87">
        <v>0.25</v>
      </c>
      <c r="AR217" s="87">
        <v>0.16</v>
      </c>
      <c r="AS217" s="87">
        <v>0.15</v>
      </c>
      <c r="AT217" s="88">
        <v>0.04</v>
      </c>
      <c r="AU217" s="89">
        <f>SUMPRODUCT($AM$208:$AT$208,AM217:AT217)</f>
        <v>66.575000000000003</v>
      </c>
      <c r="AV217" s="90">
        <f>(SUMPRODUCT($AM$208:$AT$208,AM217:AT217))*$AV$208*AL217</f>
        <v>786343.01492796815</v>
      </c>
      <c r="AW217" s="90">
        <f>AV217/$AW$208</f>
        <v>13105.716915466135</v>
      </c>
      <c r="AX217" s="91">
        <f>AW217*(1+$AX$208)</f>
        <v>15726.860298559361</v>
      </c>
    </row>
    <row r="218" spans="2:50" ht="47.25" customHeight="1" x14ac:dyDescent="0.25">
      <c r="B218" s="13" t="s">
        <v>38</v>
      </c>
      <c r="D218" s="84">
        <v>15270.216374581938</v>
      </c>
      <c r="E218" s="87">
        <v>0.3</v>
      </c>
      <c r="F218" s="92">
        <v>0.25</v>
      </c>
      <c r="G218" s="87">
        <v>0.25</v>
      </c>
      <c r="H218" s="87">
        <v>0.1</v>
      </c>
      <c r="I218" s="87">
        <v>0.05</v>
      </c>
      <c r="J218" s="87">
        <v>0.02</v>
      </c>
      <c r="K218" s="87">
        <v>0.02</v>
      </c>
      <c r="L218" s="88">
        <v>0.01</v>
      </c>
      <c r="M218" s="89">
        <f>SUMPRODUCT($E$208:$L$208,E218:L218)</f>
        <v>14.9</v>
      </c>
      <c r="N218" s="90">
        <f>(SUMPRODUCT($E$208:$L$208,E218:L218))*$N$208*D218</f>
        <v>45505.244796254185</v>
      </c>
      <c r="O218" s="90">
        <f>N218/$O$208</f>
        <v>758.42074660423646</v>
      </c>
      <c r="P218" s="91">
        <f>O218*(1+$P$208)</f>
        <v>910.10489592508372</v>
      </c>
      <c r="S218" s="13" t="s">
        <v>38</v>
      </c>
      <c r="U218" s="84">
        <v>20547.603153637454</v>
      </c>
      <c r="V218" s="87">
        <v>0.3</v>
      </c>
      <c r="W218" s="92">
        <v>0.25</v>
      </c>
      <c r="X218" s="87">
        <v>0.25</v>
      </c>
      <c r="Y218" s="87">
        <v>0.1</v>
      </c>
      <c r="Z218" s="87">
        <v>0.05</v>
      </c>
      <c r="AA218" s="87">
        <v>0.02</v>
      </c>
      <c r="AB218" s="87">
        <v>0.02</v>
      </c>
      <c r="AC218" s="88">
        <v>0.01</v>
      </c>
      <c r="AD218" s="89">
        <f>SUMPRODUCT($V$208:$AC$208,V218:AC218)</f>
        <v>14.9</v>
      </c>
      <c r="AE218" s="90">
        <f>(SUMPRODUCT($V$208:$AC$208,V218:AC218))*$AE$208*U218</f>
        <v>61231.857397839623</v>
      </c>
      <c r="AF218" s="90">
        <f>AE218/$AF$208</f>
        <v>1020.5309566306604</v>
      </c>
      <c r="AG218" s="91">
        <f>AF218*(1+$AG$208)</f>
        <v>1224.6371479567924</v>
      </c>
      <c r="AJ218" s="13" t="s">
        <v>38</v>
      </c>
      <c r="AL218" s="84">
        <v>43156.986867417865</v>
      </c>
      <c r="AM218" s="87">
        <v>0.3</v>
      </c>
      <c r="AN218" s="92">
        <v>0.25</v>
      </c>
      <c r="AO218" s="87">
        <v>0.25</v>
      </c>
      <c r="AP218" s="87">
        <v>0.1</v>
      </c>
      <c r="AQ218" s="87">
        <v>0.05</v>
      </c>
      <c r="AR218" s="87">
        <v>0.02</v>
      </c>
      <c r="AS218" s="87">
        <v>0.02</v>
      </c>
      <c r="AT218" s="88">
        <v>0.01</v>
      </c>
      <c r="AU218" s="89">
        <f>SUMPRODUCT($AM$208:$AT$208,AM218:AT218)</f>
        <v>14.9</v>
      </c>
      <c r="AV218" s="90">
        <f>(SUMPRODUCT($AM$208:$AT$208,AM218:AT218))*$AV$208*AL218</f>
        <v>128607.82086490525</v>
      </c>
      <c r="AW218" s="90">
        <f>AV218/$AW$208</f>
        <v>2143.4636810817542</v>
      </c>
      <c r="AX218" s="91">
        <f>AW218*(1+$AX$208)</f>
        <v>2572.1564172981048</v>
      </c>
    </row>
    <row r="219" spans="2:50" ht="15.75" customHeight="1" x14ac:dyDescent="0.25">
      <c r="B219" s="13" t="s">
        <v>39</v>
      </c>
      <c r="D219" s="84">
        <v>29736.737150501671</v>
      </c>
      <c r="E219" s="87">
        <v>0.1</v>
      </c>
      <c r="F219" s="92">
        <v>0.12</v>
      </c>
      <c r="G219" s="87">
        <v>0.12</v>
      </c>
      <c r="H219" s="87">
        <v>0.1</v>
      </c>
      <c r="I219" s="87">
        <v>0.18</v>
      </c>
      <c r="J219" s="87">
        <v>0.2</v>
      </c>
      <c r="K219" s="87">
        <v>0.15</v>
      </c>
      <c r="L219" s="88">
        <v>0.03</v>
      </c>
      <c r="M219" s="89">
        <f>SUMPRODUCT($E$208:$L$208,E219:L219)</f>
        <v>57.71</v>
      </c>
      <c r="N219" s="90">
        <f>(SUMPRODUCT($E$208:$L$208,E219:L219))*$N$208*D219</f>
        <v>343221.42019109032</v>
      </c>
      <c r="O219" s="90">
        <f>N219/$O$208</f>
        <v>5720.3570031848385</v>
      </c>
      <c r="P219" s="91">
        <f>O219*(1+$P$208)</f>
        <v>6864.4284038218057</v>
      </c>
      <c r="S219" s="13" t="s">
        <v>39</v>
      </c>
      <c r="U219" s="84">
        <v>40013.753509715047</v>
      </c>
      <c r="V219" s="87">
        <v>0.1</v>
      </c>
      <c r="W219" s="92">
        <v>0.12</v>
      </c>
      <c r="X219" s="87">
        <v>0.12</v>
      </c>
      <c r="Y219" s="87">
        <v>0.1</v>
      </c>
      <c r="Z219" s="87">
        <v>0.18</v>
      </c>
      <c r="AA219" s="87">
        <v>0.2</v>
      </c>
      <c r="AB219" s="87">
        <v>0.15</v>
      </c>
      <c r="AC219" s="88">
        <v>0.03</v>
      </c>
      <c r="AD219" s="89">
        <f>SUMPRODUCT($V$208:$AC$208,V219:AC219)</f>
        <v>57.71</v>
      </c>
      <c r="AE219" s="90">
        <f>(SUMPRODUCT($V$208:$AC$208,V219:AC219))*$AE$208*U219</f>
        <v>461838.74300913111</v>
      </c>
      <c r="AF219" s="90">
        <f>AE219/$AF$208</f>
        <v>7697.3123834855187</v>
      </c>
      <c r="AG219" s="91">
        <f>AF219*(1+$AG$208)</f>
        <v>9236.7748601826224</v>
      </c>
      <c r="AJ219" s="13" t="s">
        <v>39</v>
      </c>
      <c r="AL219" s="84">
        <v>84042.5533733927</v>
      </c>
      <c r="AM219" s="87">
        <v>0.1</v>
      </c>
      <c r="AN219" s="92">
        <v>0.12</v>
      </c>
      <c r="AO219" s="87">
        <v>0.12</v>
      </c>
      <c r="AP219" s="87">
        <v>0.1</v>
      </c>
      <c r="AQ219" s="87">
        <v>0.18</v>
      </c>
      <c r="AR219" s="87">
        <v>0.2</v>
      </c>
      <c r="AS219" s="87">
        <v>0.15</v>
      </c>
      <c r="AT219" s="88">
        <v>0.03</v>
      </c>
      <c r="AU219" s="89">
        <f>SUMPRODUCT($AM$208:$AT$208,AM219:AT219)</f>
        <v>57.71</v>
      </c>
      <c r="AV219" s="90">
        <f>(SUMPRODUCT($AM$208:$AT$208,AM219:AT219))*$AV$208*AL219</f>
        <v>970019.15103569871</v>
      </c>
      <c r="AW219" s="90">
        <f>AV219/$AW$208</f>
        <v>16166.985850594978</v>
      </c>
      <c r="AX219" s="91">
        <f>AW219*(1+$AX$208)</f>
        <v>19400.383020713973</v>
      </c>
    </row>
    <row r="220" spans="2:50" ht="15.75" customHeight="1" x14ac:dyDescent="0.25">
      <c r="B220" s="13" t="s">
        <v>3</v>
      </c>
      <c r="D220" s="84">
        <v>58267.930903010019</v>
      </c>
      <c r="E220" s="87">
        <v>0.1</v>
      </c>
      <c r="F220" s="92">
        <v>0.15</v>
      </c>
      <c r="G220" s="87">
        <v>0.2</v>
      </c>
      <c r="H220" s="87">
        <v>0.18</v>
      </c>
      <c r="I220" s="87">
        <v>0.15</v>
      </c>
      <c r="J220" s="87">
        <v>0.1</v>
      </c>
      <c r="K220" s="87">
        <v>0.1</v>
      </c>
      <c r="L220" s="88">
        <v>0.02</v>
      </c>
      <c r="M220" s="89">
        <f>SUMPRODUCT($E$208:$L$208,E220:L220)</f>
        <v>38</v>
      </c>
      <c r="N220" s="90">
        <f>(SUMPRODUCT($E$208:$L$208,E220:L220))*$N$208*D220</f>
        <v>442836.27486287616</v>
      </c>
      <c r="O220" s="90">
        <f>N220/$O$208</f>
        <v>7380.6045810479363</v>
      </c>
      <c r="P220" s="91">
        <f>O220*(1+$P$208)</f>
        <v>8856.7254972575229</v>
      </c>
      <c r="S220" s="13" t="s">
        <v>3</v>
      </c>
      <c r="U220" s="84">
        <v>78405.32782309028</v>
      </c>
      <c r="V220" s="87">
        <v>0.1</v>
      </c>
      <c r="W220" s="92">
        <v>0.15</v>
      </c>
      <c r="X220" s="87">
        <v>0.2</v>
      </c>
      <c r="Y220" s="87">
        <v>0.18</v>
      </c>
      <c r="Z220" s="87">
        <v>0.15</v>
      </c>
      <c r="AA220" s="87">
        <v>0.1</v>
      </c>
      <c r="AB220" s="87">
        <v>0.1</v>
      </c>
      <c r="AC220" s="88">
        <v>0.02</v>
      </c>
      <c r="AD220" s="89">
        <f>SUMPRODUCT($V$208:$AC$208,V220:AC220)</f>
        <v>38</v>
      </c>
      <c r="AE220" s="90">
        <f>(SUMPRODUCT($V$208:$AC$208,V220:AC220))*$AE$208*U220</f>
        <v>595880.49145548616</v>
      </c>
      <c r="AF220" s="90">
        <f>AE220/$AF$208</f>
        <v>9931.3415242581032</v>
      </c>
      <c r="AG220" s="91">
        <f>AF220*(1+$AG$208)</f>
        <v>11917.609829109724</v>
      </c>
      <c r="AJ220" s="13" t="s">
        <v>3</v>
      </c>
      <c r="AL220" s="84">
        <v>164677.97620462079</v>
      </c>
      <c r="AM220" s="87">
        <v>0.1</v>
      </c>
      <c r="AN220" s="92">
        <v>0.15</v>
      </c>
      <c r="AO220" s="87">
        <v>0.2</v>
      </c>
      <c r="AP220" s="87">
        <v>0.18</v>
      </c>
      <c r="AQ220" s="87">
        <v>0.15</v>
      </c>
      <c r="AR220" s="87">
        <v>0.1</v>
      </c>
      <c r="AS220" s="87">
        <v>0.1</v>
      </c>
      <c r="AT220" s="88">
        <v>0.02</v>
      </c>
      <c r="AU220" s="89">
        <f>SUMPRODUCT($AM$208:$AT$208,AM220:AT220)</f>
        <v>38</v>
      </c>
      <c r="AV220" s="90">
        <f>(SUMPRODUCT($AM$208:$AT$208,AM220:AT220))*$AV$208*AL220</f>
        <v>1251552.619155118</v>
      </c>
      <c r="AW220" s="90">
        <f>AV220/$AW$208</f>
        <v>20859.210319251968</v>
      </c>
      <c r="AX220" s="91">
        <f>AW220*(1+$AX$208)</f>
        <v>25031.05238310236</v>
      </c>
    </row>
    <row r="221" spans="2:50" ht="31.5" customHeight="1" x14ac:dyDescent="0.25">
      <c r="B221" s="13" t="s">
        <v>40</v>
      </c>
      <c r="D221" s="84">
        <v>6831.412588628762</v>
      </c>
      <c r="E221" s="87">
        <v>0.25</v>
      </c>
      <c r="F221" s="92">
        <v>0.2</v>
      </c>
      <c r="G221" s="87">
        <v>0.17</v>
      </c>
      <c r="H221" s="87">
        <v>0.15</v>
      </c>
      <c r="I221" s="87">
        <v>0.1</v>
      </c>
      <c r="J221" s="87">
        <v>0.1</v>
      </c>
      <c r="K221" s="87">
        <v>0.02</v>
      </c>
      <c r="L221" s="88">
        <v>0.01</v>
      </c>
      <c r="M221" s="89">
        <f>SUMPRODUCT($E$208:$L$208,E221:L221)</f>
        <v>19.414999999999999</v>
      </c>
      <c r="N221" s="90">
        <f>(SUMPRODUCT($E$208:$L$208,E221:L221))*$N$208*D221</f>
        <v>26526.375081645481</v>
      </c>
      <c r="O221" s="90">
        <f>N221/$O$208</f>
        <v>442.10625136075799</v>
      </c>
      <c r="P221" s="91">
        <f>O221*(1+$P$208)</f>
        <v>530.52750163290955</v>
      </c>
      <c r="S221" s="13" t="s">
        <v>40</v>
      </c>
      <c r="U221" s="84">
        <v>9192.3487792588621</v>
      </c>
      <c r="V221" s="87">
        <v>0.25</v>
      </c>
      <c r="W221" s="92">
        <v>0.2</v>
      </c>
      <c r="X221" s="87">
        <v>0.17</v>
      </c>
      <c r="Y221" s="87">
        <v>0.15</v>
      </c>
      <c r="Z221" s="87">
        <v>0.1</v>
      </c>
      <c r="AA221" s="87">
        <v>0.1</v>
      </c>
      <c r="AB221" s="87">
        <v>0.02</v>
      </c>
      <c r="AC221" s="88">
        <v>0.01</v>
      </c>
      <c r="AD221" s="89">
        <f>SUMPRODUCT($V$208:$AC$208,V221:AC221)</f>
        <v>19.414999999999999</v>
      </c>
      <c r="AE221" s="90">
        <f>(SUMPRODUCT($V$208:$AC$208,V221:AC221))*$AE$208*U221</f>
        <v>35693.890309862159</v>
      </c>
      <c r="AF221" s="90">
        <f>AE221/$AF$208</f>
        <v>594.89817183103594</v>
      </c>
      <c r="AG221" s="91">
        <f>AF221*(1+$AG$208)</f>
        <v>713.8778061972431</v>
      </c>
      <c r="AJ221" s="13" t="s">
        <v>40</v>
      </c>
      <c r="AL221" s="84">
        <v>19307.073072265888</v>
      </c>
      <c r="AM221" s="87">
        <v>0.25</v>
      </c>
      <c r="AN221" s="92">
        <v>0.2</v>
      </c>
      <c r="AO221" s="87">
        <v>0.17</v>
      </c>
      <c r="AP221" s="87">
        <v>0.15</v>
      </c>
      <c r="AQ221" s="87">
        <v>0.1</v>
      </c>
      <c r="AR221" s="87">
        <v>0.1</v>
      </c>
      <c r="AS221" s="87">
        <v>0.02</v>
      </c>
      <c r="AT221" s="88">
        <v>0.01</v>
      </c>
      <c r="AU221" s="89">
        <f>SUMPRODUCT($AM$208:$AT$208,AM221:AT221)</f>
        <v>19.414999999999999</v>
      </c>
      <c r="AV221" s="90">
        <f>(SUMPRODUCT($AM$208:$AT$208,AM221:AT221))*$AV$208*AL221</f>
        <v>74969.364739608442</v>
      </c>
      <c r="AW221" s="90">
        <f>AV221/$AW$208</f>
        <v>1249.4894123268073</v>
      </c>
      <c r="AX221" s="91">
        <f>AW221*(1+$AX$208)</f>
        <v>1499.3872947921686</v>
      </c>
    </row>
    <row r="222" spans="2:50" ht="15.75" customHeight="1" x14ac:dyDescent="0.25">
      <c r="B222" s="13" t="s">
        <v>2</v>
      </c>
      <c r="D222" s="84">
        <v>36568.149739130429</v>
      </c>
      <c r="E222" s="87">
        <v>0.3</v>
      </c>
      <c r="F222" s="92">
        <v>0.27</v>
      </c>
      <c r="G222" s="87">
        <v>0.2</v>
      </c>
      <c r="H222" s="87">
        <v>0.05</v>
      </c>
      <c r="I222" s="87">
        <v>0.1</v>
      </c>
      <c r="J222" s="87">
        <v>0.05</v>
      </c>
      <c r="K222" s="87">
        <v>0.02</v>
      </c>
      <c r="L222" s="88">
        <v>0.01</v>
      </c>
      <c r="M222" s="89">
        <f>SUMPRODUCT($E$208:$L$208,E222:L222)</f>
        <v>16.57</v>
      </c>
      <c r="N222" s="90">
        <f>(SUMPRODUCT($E$208:$L$208,E222:L222))*$N$208*D222</f>
        <v>121186.84823547825</v>
      </c>
      <c r="O222" s="90">
        <f>N222/$O$208</f>
        <v>2019.7808039246374</v>
      </c>
      <c r="P222" s="91">
        <f>O222*(1+$P$208)</f>
        <v>2423.7369647095647</v>
      </c>
      <c r="S222" s="13" t="s">
        <v>2</v>
      </c>
      <c r="U222" s="84">
        <v>49206.102288973903</v>
      </c>
      <c r="V222" s="87">
        <v>0.3</v>
      </c>
      <c r="W222" s="92">
        <v>0.27</v>
      </c>
      <c r="X222" s="87">
        <v>0.2</v>
      </c>
      <c r="Y222" s="87">
        <v>0.05</v>
      </c>
      <c r="Z222" s="87">
        <v>0.1</v>
      </c>
      <c r="AA222" s="87">
        <v>0.05</v>
      </c>
      <c r="AB222" s="87">
        <v>0.02</v>
      </c>
      <c r="AC222" s="88">
        <v>0.01</v>
      </c>
      <c r="AD222" s="89">
        <f>SUMPRODUCT($V$208:$AC$208,V222:AC222)</f>
        <v>16.57</v>
      </c>
      <c r="AE222" s="90">
        <f>(SUMPRODUCT($V$208:$AC$208,V222:AC222))*$AE$208*U222</f>
        <v>163069.02298565951</v>
      </c>
      <c r="AF222" s="90">
        <f>AE222/$AF$208</f>
        <v>2717.8170497609917</v>
      </c>
      <c r="AG222" s="91">
        <f>AF222*(1+$AG$208)</f>
        <v>3261.3804597131898</v>
      </c>
      <c r="AJ222" s="13" t="s">
        <v>2</v>
      </c>
      <c r="AL222" s="84">
        <v>103349.62644565858</v>
      </c>
      <c r="AM222" s="87">
        <v>0.3</v>
      </c>
      <c r="AN222" s="92">
        <v>0.27</v>
      </c>
      <c r="AO222" s="87">
        <v>0.2</v>
      </c>
      <c r="AP222" s="87">
        <v>0.05</v>
      </c>
      <c r="AQ222" s="87">
        <v>0.1</v>
      </c>
      <c r="AR222" s="87">
        <v>0.05</v>
      </c>
      <c r="AS222" s="87">
        <v>0.02</v>
      </c>
      <c r="AT222" s="88">
        <v>0.01</v>
      </c>
      <c r="AU222" s="89">
        <f>SUMPRODUCT($AM$208:$AT$208,AM222:AT222)</f>
        <v>16.57</v>
      </c>
      <c r="AV222" s="90">
        <f>(SUMPRODUCT($AM$208:$AT$208,AM222:AT222))*$AV$208*AL222</f>
        <v>342500.66204091255</v>
      </c>
      <c r="AW222" s="90">
        <f>AV222/$AW$208</f>
        <v>5708.3443673485426</v>
      </c>
      <c r="AX222" s="91">
        <f>AW222*(1+$AX$208)</f>
        <v>6850.0132408182508</v>
      </c>
    </row>
    <row r="223" spans="2:50" ht="15.75" customHeight="1" x14ac:dyDescent="0.25">
      <c r="B223" s="13" t="s">
        <v>41</v>
      </c>
      <c r="D223" s="84">
        <v>17279.455371237455</v>
      </c>
      <c r="E223" s="87">
        <v>0.1</v>
      </c>
      <c r="F223" s="92">
        <v>0.14000000000000001</v>
      </c>
      <c r="G223" s="87">
        <v>0.15</v>
      </c>
      <c r="H223" s="87">
        <v>0.2</v>
      </c>
      <c r="I223" s="87">
        <v>0.25</v>
      </c>
      <c r="J223" s="87">
        <v>0.1</v>
      </c>
      <c r="K223" s="87">
        <v>0.05</v>
      </c>
      <c r="L223" s="88">
        <v>0.01</v>
      </c>
      <c r="M223" s="89">
        <f>SUMPRODUCT($E$208:$L$208,E223:L223)</f>
        <v>23.990000000000002</v>
      </c>
      <c r="N223" s="90">
        <f>(SUMPRODUCT($E$208:$L$208,E223:L223))*$N$208*D223</f>
        <v>82906.826871197321</v>
      </c>
      <c r="O223" s="90">
        <f>N223/$O$208</f>
        <v>1381.7804478532887</v>
      </c>
      <c r="P223" s="91">
        <f>O223*(1+$P$208)</f>
        <v>1658.1365374239465</v>
      </c>
      <c r="S223" s="13" t="s">
        <v>41</v>
      </c>
      <c r="U223" s="84">
        <v>23251.235147537118</v>
      </c>
      <c r="V223" s="87">
        <v>0.1</v>
      </c>
      <c r="W223" s="92">
        <v>0.14000000000000001</v>
      </c>
      <c r="X223" s="87">
        <v>0.15</v>
      </c>
      <c r="Y223" s="87">
        <v>0.2</v>
      </c>
      <c r="Z223" s="87">
        <v>0.25</v>
      </c>
      <c r="AA223" s="87">
        <v>0.1</v>
      </c>
      <c r="AB223" s="87">
        <v>0.05</v>
      </c>
      <c r="AC223" s="88">
        <v>0.01</v>
      </c>
      <c r="AD223" s="89">
        <f>SUMPRODUCT($V$208:$AC$208,V223:AC223)</f>
        <v>23.990000000000002</v>
      </c>
      <c r="AE223" s="90">
        <f>(SUMPRODUCT($V$208:$AC$208,V223:AC223))*$AE$208*U223</f>
        <v>111559.42623788312</v>
      </c>
      <c r="AF223" s="90">
        <f>AE223/$AF$208</f>
        <v>1859.3237706313853</v>
      </c>
      <c r="AG223" s="91">
        <f>AF223*(1+$AG$208)</f>
        <v>2231.1885247576624</v>
      </c>
      <c r="AJ223" s="13" t="s">
        <v>41</v>
      </c>
      <c r="AL223" s="84">
        <v>48835.537771025476</v>
      </c>
      <c r="AM223" s="87">
        <v>0.1</v>
      </c>
      <c r="AN223" s="92">
        <v>0.14000000000000001</v>
      </c>
      <c r="AO223" s="87">
        <v>0.15</v>
      </c>
      <c r="AP223" s="87">
        <v>0.2</v>
      </c>
      <c r="AQ223" s="87">
        <v>0.25</v>
      </c>
      <c r="AR223" s="87">
        <v>0.1</v>
      </c>
      <c r="AS223" s="87">
        <v>0.05</v>
      </c>
      <c r="AT223" s="88">
        <v>0.01</v>
      </c>
      <c r="AU223" s="89">
        <f>SUMPRODUCT($AM$208:$AT$208,AM223:AT223)</f>
        <v>23.990000000000002</v>
      </c>
      <c r="AV223" s="90">
        <f>(SUMPRODUCT($AM$208:$AT$208,AM223:AT223))*$AV$208*AL223</f>
        <v>234312.91022538027</v>
      </c>
      <c r="AW223" s="90">
        <f>AV223/$AW$208</f>
        <v>3905.2151704230046</v>
      </c>
      <c r="AX223" s="91">
        <f>AW223*(1+$AX$208)</f>
        <v>4686.2582045076051</v>
      </c>
    </row>
    <row r="224" spans="2:50" ht="15.75" customHeight="1" x14ac:dyDescent="0.25">
      <c r="B224" s="13" t="s">
        <v>42</v>
      </c>
      <c r="D224" s="84">
        <v>33755.215143812704</v>
      </c>
      <c r="E224" s="87">
        <v>0.1</v>
      </c>
      <c r="F224" s="92">
        <v>0.15</v>
      </c>
      <c r="G224" s="87">
        <v>0.2</v>
      </c>
      <c r="H224" s="87">
        <v>0.22</v>
      </c>
      <c r="I224" s="87">
        <v>0.2</v>
      </c>
      <c r="J224" s="87">
        <v>0.1</v>
      </c>
      <c r="K224" s="87">
        <v>0.02</v>
      </c>
      <c r="L224" s="88">
        <v>0.01</v>
      </c>
      <c r="M224" s="89">
        <f>SUMPRODUCT($E$208:$L$208,E224:L224)</f>
        <v>20.7</v>
      </c>
      <c r="N224" s="90">
        <f>(SUMPRODUCT($E$208:$L$208,E224:L224))*$N$208*D224</f>
        <v>139746.59069538457</v>
      </c>
      <c r="O224" s="90">
        <f>N224/$O$208</f>
        <v>2329.1098449230763</v>
      </c>
      <c r="P224" s="91">
        <f>O224*(1+$P$208)</f>
        <v>2794.9318139076913</v>
      </c>
      <c r="S224" s="13" t="s">
        <v>42</v>
      </c>
      <c r="U224" s="84">
        <v>45421.017497514375</v>
      </c>
      <c r="V224" s="87">
        <v>0.1</v>
      </c>
      <c r="W224" s="92">
        <v>0.15</v>
      </c>
      <c r="X224" s="87">
        <v>0.2</v>
      </c>
      <c r="Y224" s="87">
        <v>0.22</v>
      </c>
      <c r="Z224" s="87">
        <v>0.2</v>
      </c>
      <c r="AA224" s="87">
        <v>0.1</v>
      </c>
      <c r="AB224" s="87">
        <v>0.02</v>
      </c>
      <c r="AC224" s="88">
        <v>0.01</v>
      </c>
      <c r="AD224" s="89">
        <f>SUMPRODUCT($V$208:$AC$208,V224:AC224)</f>
        <v>20.7</v>
      </c>
      <c r="AE224" s="90">
        <f>(SUMPRODUCT($V$208:$AC$208,V224:AC224))*$AE$208*U224</f>
        <v>188043.01243970951</v>
      </c>
      <c r="AF224" s="90">
        <f>AE224/$AF$208</f>
        <v>3134.050207328492</v>
      </c>
      <c r="AG224" s="91">
        <f>AF224*(1+$AG$208)</f>
        <v>3760.8602487941903</v>
      </c>
      <c r="AJ224" s="13" t="s">
        <v>42</v>
      </c>
      <c r="AL224" s="84">
        <v>95399.655180607922</v>
      </c>
      <c r="AM224" s="87">
        <v>0.1</v>
      </c>
      <c r="AN224" s="92">
        <v>0.15</v>
      </c>
      <c r="AO224" s="87">
        <v>0.2</v>
      </c>
      <c r="AP224" s="87">
        <v>0.22</v>
      </c>
      <c r="AQ224" s="87">
        <v>0.2</v>
      </c>
      <c r="AR224" s="87">
        <v>0.1</v>
      </c>
      <c r="AS224" s="87">
        <v>0.02</v>
      </c>
      <c r="AT224" s="88">
        <v>0.01</v>
      </c>
      <c r="AU224" s="89">
        <f>SUMPRODUCT($AM$208:$AT$208,AM224:AT224)</f>
        <v>20.7</v>
      </c>
      <c r="AV224" s="90">
        <f>(SUMPRODUCT($AM$208:$AT$208,AM224:AT224))*$AV$208*AL224</f>
        <v>394954.57244771678</v>
      </c>
      <c r="AW224" s="90">
        <f>AV224/$AW$208</f>
        <v>6582.5762074619461</v>
      </c>
      <c r="AX224" s="91">
        <f>AW224*(1+$AX$208)</f>
        <v>7899.0914489543347</v>
      </c>
    </row>
    <row r="225" spans="2:50" ht="15.75" customHeight="1" x14ac:dyDescent="0.25">
      <c r="B225" s="13" t="s">
        <v>43</v>
      </c>
      <c r="D225" s="84">
        <v>317628.20066889626</v>
      </c>
      <c r="E225" s="87">
        <v>0.05</v>
      </c>
      <c r="F225" s="92">
        <v>0.05</v>
      </c>
      <c r="G225" s="87">
        <v>0.1</v>
      </c>
      <c r="H225" s="87">
        <v>0.1</v>
      </c>
      <c r="I225" s="87">
        <v>0.15</v>
      </c>
      <c r="J225" s="87">
        <v>0.2</v>
      </c>
      <c r="K225" s="87">
        <v>0.25</v>
      </c>
      <c r="L225" s="88">
        <v>0.1</v>
      </c>
      <c r="M225" s="89">
        <f>SUMPRODUCT($E$208:$L$208,E225:L225)</f>
        <v>137.27500000000001</v>
      </c>
      <c r="N225" s="90">
        <f>(SUMPRODUCT($E$208:$L$208,E225:L225))*$N$208*D225</f>
        <v>8720482.2493645474</v>
      </c>
      <c r="O225" s="90">
        <f>N225/$O$208</f>
        <v>145341.37082274246</v>
      </c>
      <c r="P225" s="91">
        <f>O225*(1+$P$208)</f>
        <v>174409.64498729096</v>
      </c>
      <c r="S225" s="13" t="s">
        <v>43</v>
      </c>
      <c r="U225" s="84">
        <v>327414.05765448796</v>
      </c>
      <c r="V225" s="87">
        <v>0.05</v>
      </c>
      <c r="W225" s="92">
        <v>0.05</v>
      </c>
      <c r="X225" s="87">
        <v>0.1</v>
      </c>
      <c r="Y225" s="87">
        <v>0.1</v>
      </c>
      <c r="Z225" s="87">
        <v>0.15</v>
      </c>
      <c r="AA225" s="87">
        <v>0.2</v>
      </c>
      <c r="AB225" s="87">
        <v>0.25</v>
      </c>
      <c r="AC225" s="88">
        <v>0.1</v>
      </c>
      <c r="AD225" s="89">
        <f>SUMPRODUCT($V$208:$AC$208,V225:AC225)</f>
        <v>137.27500000000001</v>
      </c>
      <c r="AE225" s="90">
        <f>(SUMPRODUCT($V$208:$AC$208,V225:AC225))*$AE$208*U225</f>
        <v>8989152.9529039674</v>
      </c>
      <c r="AF225" s="90">
        <f>AE225/$AF$208</f>
        <v>149819.21588173279</v>
      </c>
      <c r="AG225" s="91">
        <f>AF225*(1+$AG$208)</f>
        <v>179783.05905807935</v>
      </c>
      <c r="AJ225" s="13" t="s">
        <v>43</v>
      </c>
      <c r="AL225" s="84">
        <v>348966.01373049902</v>
      </c>
      <c r="AM225" s="87">
        <v>0.05</v>
      </c>
      <c r="AN225" s="92">
        <v>0.05</v>
      </c>
      <c r="AO225" s="87">
        <v>0.1</v>
      </c>
      <c r="AP225" s="87">
        <v>0.1</v>
      </c>
      <c r="AQ225" s="87">
        <v>0.15</v>
      </c>
      <c r="AR225" s="87">
        <v>0.2</v>
      </c>
      <c r="AS225" s="87">
        <v>0.25</v>
      </c>
      <c r="AT225" s="88">
        <v>0.1</v>
      </c>
      <c r="AU225" s="89">
        <f>SUMPRODUCT($AM$208:$AT$208,AM225:AT225)</f>
        <v>137.27500000000001</v>
      </c>
      <c r="AV225" s="90">
        <f>(SUMPRODUCT($AM$208:$AT$208,AM225:AT225))*$AV$208*AL225</f>
        <v>9580861.9069708511</v>
      </c>
      <c r="AW225" s="90">
        <f>AV225/$AW$208</f>
        <v>159681.03178284751</v>
      </c>
      <c r="AX225" s="91">
        <f>AW225*(1+$AX$208)</f>
        <v>191617.23813941699</v>
      </c>
    </row>
    <row r="226" spans="2:50" ht="15.75" customHeight="1" thickBot="1" x14ac:dyDescent="0.3">
      <c r="B226" s="103" t="s">
        <v>44</v>
      </c>
      <c r="D226" s="93">
        <v>17873.424657534251</v>
      </c>
      <c r="E226" s="94">
        <v>0.05</v>
      </c>
      <c r="F226" s="94">
        <v>0.13</v>
      </c>
      <c r="G226" s="95">
        <v>0.2</v>
      </c>
      <c r="H226" s="95">
        <v>0.25</v>
      </c>
      <c r="I226" s="95">
        <v>0.2</v>
      </c>
      <c r="J226" s="95">
        <v>0.1</v>
      </c>
      <c r="K226" s="95">
        <v>0.05</v>
      </c>
      <c r="L226" s="96">
        <v>0.02</v>
      </c>
      <c r="M226" s="97">
        <f>SUMPRODUCT($E$208:$L$208,E226:L226)</f>
        <v>33.805</v>
      </c>
      <c r="N226" s="98">
        <f>(SUMPRODUCT($E$208:$L$208,E226:L226))*$N$208*D226</f>
        <v>120842.22410958908</v>
      </c>
      <c r="O226" s="98">
        <f>N226/$O$208</f>
        <v>2014.0370684931513</v>
      </c>
      <c r="P226" s="99">
        <f>O226*(1+$P$208)</f>
        <v>2416.8444821917815</v>
      </c>
      <c r="S226" s="103" t="s">
        <v>44</v>
      </c>
      <c r="U226" s="93">
        <v>19518.226561643838</v>
      </c>
      <c r="V226" s="94">
        <v>0.05</v>
      </c>
      <c r="W226" s="94">
        <v>0.13</v>
      </c>
      <c r="X226" s="95">
        <v>0.2</v>
      </c>
      <c r="Y226" s="95">
        <v>0.25</v>
      </c>
      <c r="Z226" s="95">
        <v>0.2</v>
      </c>
      <c r="AA226" s="95">
        <v>0.1</v>
      </c>
      <c r="AB226" s="95">
        <v>0.05</v>
      </c>
      <c r="AC226" s="96">
        <v>0.02</v>
      </c>
      <c r="AD226" s="97">
        <f>SUMPRODUCT($V$208:$AC$208,V226:AC226)</f>
        <v>33.805</v>
      </c>
      <c r="AE226" s="98">
        <f>(SUMPRODUCT($V$208:$AC$208,V226:AC226))*$AE$208*U226</f>
        <v>131962.729783274</v>
      </c>
      <c r="AF226" s="98">
        <f>AE226/$AF$208</f>
        <v>2199.3788297212332</v>
      </c>
      <c r="AG226" s="99">
        <f>AF226*(1+$AG$208)</f>
        <v>2639.2545956654799</v>
      </c>
      <c r="AJ226" s="103" t="s">
        <v>44</v>
      </c>
      <c r="AL226" s="93">
        <v>24439.863585907511</v>
      </c>
      <c r="AM226" s="94">
        <v>0.05</v>
      </c>
      <c r="AN226" s="94">
        <v>0.13</v>
      </c>
      <c r="AO226" s="95">
        <v>0.2</v>
      </c>
      <c r="AP226" s="95">
        <v>0.25</v>
      </c>
      <c r="AQ226" s="95">
        <v>0.2</v>
      </c>
      <c r="AR226" s="95">
        <v>0.1</v>
      </c>
      <c r="AS226" s="95">
        <v>0.05</v>
      </c>
      <c r="AT226" s="96">
        <v>0.02</v>
      </c>
      <c r="AU226" s="97">
        <f>SUMPRODUCT($AM$208:$AT$208,AM226:AT226)</f>
        <v>33.805</v>
      </c>
      <c r="AV226" s="98">
        <f>(SUMPRODUCT($AM$208:$AT$208,AM226:AT226))*$AV$208*AL226</f>
        <v>165237.91770432069</v>
      </c>
      <c r="AW226" s="98">
        <f>AV226/$AW$208</f>
        <v>2753.9652950720115</v>
      </c>
      <c r="AX226" s="99">
        <f>AW226*(1+$AX$208)</f>
        <v>3304.7583540864139</v>
      </c>
    </row>
    <row r="227" spans="2:50" ht="15.75" customHeight="1" x14ac:dyDescent="0.25">
      <c r="B227" s="104" t="s">
        <v>182</v>
      </c>
      <c r="D227" s="100">
        <f>SUM(D210:D226)</f>
        <v>720873.664884959</v>
      </c>
      <c r="M227" s="8"/>
      <c r="N227" s="100">
        <f>SUM(N210:N226)</f>
        <v>11314490.726740422</v>
      </c>
      <c r="O227" s="101">
        <f>N227/$O$208</f>
        <v>188574.84544567371</v>
      </c>
      <c r="P227" s="101">
        <f>O227*(1+$P$208)</f>
        <v>226289.81453480845</v>
      </c>
      <c r="S227" s="104" t="s">
        <v>182</v>
      </c>
      <c r="U227" s="100">
        <f>SUM(U210:U226)</f>
        <v>865488.9006460876</v>
      </c>
      <c r="AD227" s="8"/>
      <c r="AE227" s="100">
        <f>SUM(AE210:AE226)</f>
        <v>12449008.193082359</v>
      </c>
      <c r="AF227" s="101">
        <f>AE227/$AF$208</f>
        <v>207483.46988470599</v>
      </c>
      <c r="AG227" s="101">
        <f>AF227*(1+$AG$208)</f>
        <v>248980.16386164719</v>
      </c>
      <c r="AJ227" s="104" t="s">
        <v>182</v>
      </c>
      <c r="AL227" s="100">
        <f>SUM(AL210:AL226)</f>
        <v>1462551.9406283465</v>
      </c>
      <c r="AU227" s="8"/>
      <c r="AV227" s="100">
        <f>SUM(AV210:AV226)</f>
        <v>16735811.096273074</v>
      </c>
      <c r="AW227" s="101">
        <f>AV227/$AW$208</f>
        <v>278930.18493788457</v>
      </c>
      <c r="AX227" s="101">
        <f>AW227*(1+$AX$208)</f>
        <v>334716.22192546149</v>
      </c>
    </row>
    <row r="228" spans="2:50" ht="15" customHeight="1" x14ac:dyDescent="0.25">
      <c r="M228" s="8"/>
      <c r="N228" s="8">
        <f>N227/D227</f>
        <v>15.695525135525724</v>
      </c>
      <c r="O228" s="8">
        <f>N228/$O$208</f>
        <v>0.2615920855920954</v>
      </c>
      <c r="P228" s="8">
        <f>O228*(1+$P$208)</f>
        <v>0.31391050271051446</v>
      </c>
      <c r="AD228" s="8"/>
      <c r="AE228" s="8">
        <f>AE227/U227</f>
        <v>14.383787225681544</v>
      </c>
      <c r="AF228" s="8">
        <f>AE228/$AF$208</f>
        <v>0.23972978709469242</v>
      </c>
      <c r="AG228" s="8">
        <f>AF228*(1+$AG$208)</f>
        <v>0.28767574451363087</v>
      </c>
      <c r="AU228" s="8"/>
      <c r="AV228" s="8">
        <f>AV227/AL227</f>
        <v>11.442883244941699</v>
      </c>
      <c r="AW228" s="8">
        <f>AV228/$AW$208</f>
        <v>0.19071472074902832</v>
      </c>
      <c r="AX228" s="8">
        <f>AW228*(1+$AX$208)</f>
        <v>0.22885766489883397</v>
      </c>
    </row>
    <row r="232" spans="2:50" ht="15" customHeight="1" x14ac:dyDescent="0.25">
      <c r="C232">
        <v>2023</v>
      </c>
      <c r="T232">
        <v>2025</v>
      </c>
      <c r="AK232">
        <v>2030</v>
      </c>
    </row>
    <row r="233" spans="2:50" ht="20.100000000000001" customHeight="1" x14ac:dyDescent="0.25">
      <c r="C233" s="102" t="s">
        <v>18</v>
      </c>
      <c r="T233" s="102" t="s">
        <v>18</v>
      </c>
      <c r="AK233" s="102" t="s">
        <v>18</v>
      </c>
    </row>
    <row r="234" spans="2:50" ht="15" customHeight="1" thickBot="1" x14ac:dyDescent="0.3"/>
    <row r="235" spans="2:50" ht="55.35" customHeight="1" thickBot="1" x14ac:dyDescent="0.3">
      <c r="B235" s="138" t="s">
        <v>5</v>
      </c>
      <c r="C235" s="8"/>
      <c r="D235" s="140" t="s">
        <v>46</v>
      </c>
      <c r="E235" s="142" t="s">
        <v>25</v>
      </c>
      <c r="F235" s="143"/>
      <c r="G235" s="143"/>
      <c r="H235" s="143"/>
      <c r="I235" s="143"/>
      <c r="J235" s="143"/>
      <c r="K235" s="143"/>
      <c r="L235" s="144"/>
      <c r="M235" s="145" t="s">
        <v>6</v>
      </c>
      <c r="N235" s="9" t="s">
        <v>7</v>
      </c>
      <c r="O235" s="9" t="s">
        <v>8</v>
      </c>
      <c r="P235" s="9" t="s">
        <v>9</v>
      </c>
      <c r="S235" s="138" t="s">
        <v>5</v>
      </c>
      <c r="T235" s="8"/>
      <c r="U235" s="140" t="s">
        <v>46</v>
      </c>
      <c r="V235" s="142" t="s">
        <v>25</v>
      </c>
      <c r="W235" s="143"/>
      <c r="X235" s="143"/>
      <c r="Y235" s="143"/>
      <c r="Z235" s="143"/>
      <c r="AA235" s="143"/>
      <c r="AB235" s="143"/>
      <c r="AC235" s="144"/>
      <c r="AD235" s="145" t="s">
        <v>6</v>
      </c>
      <c r="AE235" s="9" t="s">
        <v>7</v>
      </c>
      <c r="AF235" s="9" t="s">
        <v>8</v>
      </c>
      <c r="AG235" s="9" t="s">
        <v>9</v>
      </c>
      <c r="AJ235" s="138" t="s">
        <v>5</v>
      </c>
      <c r="AK235" s="8"/>
      <c r="AL235" s="140" t="s">
        <v>46</v>
      </c>
      <c r="AM235" s="142" t="s">
        <v>25</v>
      </c>
      <c r="AN235" s="143"/>
      <c r="AO235" s="143"/>
      <c r="AP235" s="143"/>
      <c r="AQ235" s="143"/>
      <c r="AR235" s="143"/>
      <c r="AS235" s="143"/>
      <c r="AT235" s="144"/>
      <c r="AU235" s="145" t="s">
        <v>6</v>
      </c>
      <c r="AV235" s="9" t="s">
        <v>7</v>
      </c>
      <c r="AW235" s="9" t="s">
        <v>8</v>
      </c>
      <c r="AX235" s="9" t="s">
        <v>9</v>
      </c>
    </row>
    <row r="236" spans="2:50" ht="16.5" customHeight="1" thickBot="1" x14ac:dyDescent="0.3">
      <c r="B236" s="139"/>
      <c r="C236" s="8"/>
      <c r="D236" s="141"/>
      <c r="E236" s="10">
        <v>0.5</v>
      </c>
      <c r="F236" s="10">
        <v>1</v>
      </c>
      <c r="G236" s="10">
        <v>2</v>
      </c>
      <c r="H236" s="10">
        <v>5</v>
      </c>
      <c r="I236" s="10">
        <v>10</v>
      </c>
      <c r="J236" s="10">
        <v>50</v>
      </c>
      <c r="K236" s="10">
        <v>100</v>
      </c>
      <c r="L236" s="10">
        <v>1000</v>
      </c>
      <c r="M236" s="146"/>
      <c r="N236" s="59">
        <f>'Network Parameters'!$C$8</f>
        <v>0.2</v>
      </c>
      <c r="O236" s="60">
        <f>'Network Parameters'!$C$9</f>
        <v>60</v>
      </c>
      <c r="P236" s="61">
        <f>'Network Parameters'!$C$10</f>
        <v>0.2</v>
      </c>
      <c r="S236" s="139"/>
      <c r="T236" s="8"/>
      <c r="U236" s="141"/>
      <c r="V236" s="10">
        <v>0.5</v>
      </c>
      <c r="W236" s="10">
        <v>1</v>
      </c>
      <c r="X236" s="10">
        <v>2</v>
      </c>
      <c r="Y236" s="10">
        <v>5</v>
      </c>
      <c r="Z236" s="10">
        <v>10</v>
      </c>
      <c r="AA236" s="10">
        <v>50</v>
      </c>
      <c r="AB236" s="10">
        <v>100</v>
      </c>
      <c r="AC236" s="10">
        <v>1000</v>
      </c>
      <c r="AD236" s="146"/>
      <c r="AE236" s="59">
        <f>'Network Parameters'!$C$8</f>
        <v>0.2</v>
      </c>
      <c r="AF236" s="60">
        <f>'Network Parameters'!$C$9</f>
        <v>60</v>
      </c>
      <c r="AG236" s="61">
        <f>'Network Parameters'!$C$10</f>
        <v>0.2</v>
      </c>
      <c r="AJ236" s="139"/>
      <c r="AK236" s="8"/>
      <c r="AL236" s="141"/>
      <c r="AM236" s="10">
        <v>0.5</v>
      </c>
      <c r="AN236" s="10">
        <v>1</v>
      </c>
      <c r="AO236" s="10">
        <v>2</v>
      </c>
      <c r="AP236" s="10">
        <v>5</v>
      </c>
      <c r="AQ236" s="10">
        <v>10</v>
      </c>
      <c r="AR236" s="10">
        <v>50</v>
      </c>
      <c r="AS236" s="10">
        <v>100</v>
      </c>
      <c r="AT236" s="10">
        <v>1000</v>
      </c>
      <c r="AU236" s="146"/>
      <c r="AV236" s="59">
        <f>'Network Parameters'!$C$8</f>
        <v>0.2</v>
      </c>
      <c r="AW236" s="60">
        <f>'Network Parameters'!$C$9</f>
        <v>60</v>
      </c>
      <c r="AX236" s="61">
        <f>'Network Parameters'!$C$10</f>
        <v>0.2</v>
      </c>
    </row>
    <row r="237" spans="2:50" ht="15" customHeight="1" thickBot="1" x14ac:dyDescent="0.3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</row>
    <row r="238" spans="2:50" ht="41.25" customHeight="1" x14ac:dyDescent="0.25">
      <c r="B238" s="13" t="s">
        <v>32</v>
      </c>
      <c r="D238" s="77">
        <v>33438.577558528435</v>
      </c>
      <c r="E238" s="78">
        <v>0.3</v>
      </c>
      <c r="F238" s="78">
        <v>0.3</v>
      </c>
      <c r="G238" s="78">
        <v>0.25</v>
      </c>
      <c r="H238" s="79">
        <v>0.05</v>
      </c>
      <c r="I238" s="78">
        <v>0.05</v>
      </c>
      <c r="J238" s="78">
        <v>0.02</v>
      </c>
      <c r="K238" s="78">
        <v>0.02</v>
      </c>
      <c r="L238" s="80">
        <v>0.01</v>
      </c>
      <c r="M238" s="81">
        <f>SUMPRODUCT($E$236:$L$236,E238:L238)</f>
        <v>14.7</v>
      </c>
      <c r="N238" s="82">
        <f>(SUMPRODUCT($E$236:$L$236,E238:L238))*$N$236*D238</f>
        <v>98309.418022073602</v>
      </c>
      <c r="O238" s="82">
        <f>N238/$O$236</f>
        <v>1638.4903003678933</v>
      </c>
      <c r="P238" s="83">
        <f>O238*(1+$P$236)</f>
        <v>1966.1883604414718</v>
      </c>
      <c r="S238" s="13" t="s">
        <v>32</v>
      </c>
      <c r="U238" s="77">
        <v>44994.949962755862</v>
      </c>
      <c r="V238" s="78">
        <v>0.3</v>
      </c>
      <c r="W238" s="78">
        <v>0.3</v>
      </c>
      <c r="X238" s="78">
        <v>0.25</v>
      </c>
      <c r="Y238" s="79">
        <v>0.05</v>
      </c>
      <c r="Z238" s="78">
        <v>0.05</v>
      </c>
      <c r="AA238" s="78">
        <v>0.02</v>
      </c>
      <c r="AB238" s="78">
        <v>0.02</v>
      </c>
      <c r="AC238" s="80">
        <v>0.01</v>
      </c>
      <c r="AD238" s="81">
        <f>SUMPRODUCT($V$236:$AC$236,V238:AC238)</f>
        <v>14.7</v>
      </c>
      <c r="AE238" s="82">
        <f>(SUMPRODUCT($V$236:$AC$236,V238:AC238))*$AE$236*U238</f>
        <v>132285.15289050224</v>
      </c>
      <c r="AF238" s="82">
        <f>AE238/$AF$236</f>
        <v>2204.7525481750372</v>
      </c>
      <c r="AG238" s="83">
        <f>AF238*(1+$AG$236)</f>
        <v>2645.7030578100444</v>
      </c>
      <c r="AJ238" s="13" t="s">
        <v>32</v>
      </c>
      <c r="AL238" s="77">
        <v>94504.767788403682</v>
      </c>
      <c r="AM238" s="78">
        <v>0.3</v>
      </c>
      <c r="AN238" s="78">
        <v>0.3</v>
      </c>
      <c r="AO238" s="78">
        <v>0.25</v>
      </c>
      <c r="AP238" s="79">
        <v>0.05</v>
      </c>
      <c r="AQ238" s="78">
        <v>0.05</v>
      </c>
      <c r="AR238" s="78">
        <v>0.02</v>
      </c>
      <c r="AS238" s="78">
        <v>0.02</v>
      </c>
      <c r="AT238" s="80">
        <v>0.01</v>
      </c>
      <c r="AU238" s="81">
        <f>SUMPRODUCT($AM$236:$AT$236,AM238:AT238)</f>
        <v>14.7</v>
      </c>
      <c r="AV238" s="82">
        <f>(SUMPRODUCT($AM$236:$AT$236,AM238:AT238))*$AV$236*AL238</f>
        <v>277844.0172979068</v>
      </c>
      <c r="AW238" s="82">
        <f>AV238/$AW$236</f>
        <v>4630.7336216317799</v>
      </c>
      <c r="AX238" s="83">
        <f>AW238*(1+$AX$236)</f>
        <v>5556.8803459581359</v>
      </c>
    </row>
    <row r="239" spans="2:50" ht="15.75" customHeight="1" x14ac:dyDescent="0.25">
      <c r="B239" s="13" t="s">
        <v>33</v>
      </c>
      <c r="D239" s="84">
        <v>3159.5506354515051</v>
      </c>
      <c r="E239" s="85">
        <v>0.3</v>
      </c>
      <c r="F239" s="85">
        <v>0.3</v>
      </c>
      <c r="G239" s="86">
        <v>0.2</v>
      </c>
      <c r="H239" s="87">
        <v>0.05</v>
      </c>
      <c r="I239" s="87">
        <v>0.1</v>
      </c>
      <c r="J239" s="87">
        <v>0.02</v>
      </c>
      <c r="K239" s="87">
        <v>0.02</v>
      </c>
      <c r="L239" s="88">
        <v>0.01</v>
      </c>
      <c r="M239" s="89">
        <f>SUMPRODUCT($E$236:$L$236,E239:L239)</f>
        <v>15.1</v>
      </c>
      <c r="N239" s="90">
        <f>(SUMPRODUCT($E$236:$L$236,E239:L239))*$N$236*D239</f>
        <v>9541.8429190635452</v>
      </c>
      <c r="O239" s="90">
        <f>N239/$O$236</f>
        <v>159.03071531772576</v>
      </c>
      <c r="P239" s="91">
        <f>O239*(1+$P$236)</f>
        <v>190.8368583812709</v>
      </c>
      <c r="S239" s="13" t="s">
        <v>33</v>
      </c>
      <c r="U239" s="84">
        <v>4251.4913350635452</v>
      </c>
      <c r="V239" s="85">
        <v>0.3</v>
      </c>
      <c r="W239" s="85">
        <v>0.3</v>
      </c>
      <c r="X239" s="86">
        <v>0.2</v>
      </c>
      <c r="Y239" s="87">
        <v>0.05</v>
      </c>
      <c r="Z239" s="87">
        <v>0.1</v>
      </c>
      <c r="AA239" s="87">
        <v>0.02</v>
      </c>
      <c r="AB239" s="87">
        <v>0.02</v>
      </c>
      <c r="AC239" s="88">
        <v>0.01</v>
      </c>
      <c r="AD239" s="89">
        <f>SUMPRODUCT($V$236:$AC$236,V239:AC239)</f>
        <v>15.1</v>
      </c>
      <c r="AE239" s="90">
        <f>(SUMPRODUCT($V$236:$AC$236,V239:AC239))*$AE$236*U239</f>
        <v>12839.503831891907</v>
      </c>
      <c r="AF239" s="90">
        <f>AE239/$AF$236</f>
        <v>213.99173053153177</v>
      </c>
      <c r="AG239" s="91">
        <f>AF239*(1+$AG$236)</f>
        <v>256.79007663783813</v>
      </c>
      <c r="AJ239" s="13" t="s">
        <v>33</v>
      </c>
      <c r="AL239" s="84">
        <v>8929.5843579594002</v>
      </c>
      <c r="AM239" s="85">
        <v>0.3</v>
      </c>
      <c r="AN239" s="85">
        <v>0.3</v>
      </c>
      <c r="AO239" s="86">
        <v>0.2</v>
      </c>
      <c r="AP239" s="87">
        <v>0.05</v>
      </c>
      <c r="AQ239" s="87">
        <v>0.1</v>
      </c>
      <c r="AR239" s="87">
        <v>0.02</v>
      </c>
      <c r="AS239" s="87">
        <v>0.02</v>
      </c>
      <c r="AT239" s="88">
        <v>0.01</v>
      </c>
      <c r="AU239" s="89">
        <f>SUMPRODUCT($AM$236:$AT$236,AM239:AT239)</f>
        <v>15.1</v>
      </c>
      <c r="AV239" s="90">
        <f>(SUMPRODUCT($AM$236:$AT$236,AM239:AT239))*$AV$236*AL239</f>
        <v>26967.344761037388</v>
      </c>
      <c r="AW239" s="90">
        <f>AV239/$AW$236</f>
        <v>449.45574601728981</v>
      </c>
      <c r="AX239" s="91">
        <f>AW239*(1+$AX$236)</f>
        <v>539.3468952207478</v>
      </c>
    </row>
    <row r="240" spans="2:50" ht="15.75" customHeight="1" x14ac:dyDescent="0.25">
      <c r="B240" s="13" t="s">
        <v>1</v>
      </c>
      <c r="D240" s="84">
        <v>9478.6519063545165</v>
      </c>
      <c r="E240" s="87">
        <v>0.05</v>
      </c>
      <c r="F240" s="92">
        <v>0.15</v>
      </c>
      <c r="G240" s="87">
        <v>0.15</v>
      </c>
      <c r="H240" s="87">
        <v>0.25</v>
      </c>
      <c r="I240" s="87">
        <v>0.22</v>
      </c>
      <c r="J240" s="87">
        <v>0.1</v>
      </c>
      <c r="K240" s="87">
        <v>0.05</v>
      </c>
      <c r="L240" s="88">
        <v>0.03</v>
      </c>
      <c r="M240" s="89">
        <f>SUMPRODUCT($E$236:$L$236,E240:L240)</f>
        <v>43.924999999999997</v>
      </c>
      <c r="N240" s="90">
        <f>(SUMPRODUCT($E$236:$L$236,E240:L240))*$N$236*D240</f>
        <v>83269.956997324436</v>
      </c>
      <c r="O240" s="90">
        <f>N240/$O$236</f>
        <v>1387.8326166220738</v>
      </c>
      <c r="P240" s="91">
        <f>O240*(1+$P$236)</f>
        <v>1665.3991399464885</v>
      </c>
      <c r="S240" s="13" t="s">
        <v>1</v>
      </c>
      <c r="U240" s="84">
        <v>12754.474005190637</v>
      </c>
      <c r="V240" s="87">
        <v>0.05</v>
      </c>
      <c r="W240" s="92">
        <v>0.15</v>
      </c>
      <c r="X240" s="87">
        <v>0.15</v>
      </c>
      <c r="Y240" s="87">
        <v>0.25</v>
      </c>
      <c r="Z240" s="87">
        <v>0.22</v>
      </c>
      <c r="AA240" s="87">
        <v>0.1</v>
      </c>
      <c r="AB240" s="87">
        <v>0.05</v>
      </c>
      <c r="AC240" s="88">
        <v>0.03</v>
      </c>
      <c r="AD240" s="89">
        <f>SUMPRODUCT($V$236:$AC$236,V240:AC240)</f>
        <v>43.924999999999997</v>
      </c>
      <c r="AE240" s="90">
        <f>(SUMPRODUCT($V$236:$AC$236,V240:AC240))*$AE$236*U240</f>
        <v>112048.05413559976</v>
      </c>
      <c r="AF240" s="90">
        <f>AE240/$AF$236</f>
        <v>1867.4675689266626</v>
      </c>
      <c r="AG240" s="91">
        <f>AF240*(1+$AG$236)</f>
        <v>2240.961082711995</v>
      </c>
      <c r="AJ240" s="13" t="s">
        <v>1</v>
      </c>
      <c r="AL240" s="84">
        <v>26788.753073878208</v>
      </c>
      <c r="AM240" s="87">
        <v>0.05</v>
      </c>
      <c r="AN240" s="92">
        <v>0.15</v>
      </c>
      <c r="AO240" s="87">
        <v>0.15</v>
      </c>
      <c r="AP240" s="87">
        <v>0.25</v>
      </c>
      <c r="AQ240" s="87">
        <v>0.22</v>
      </c>
      <c r="AR240" s="87">
        <v>0.1</v>
      </c>
      <c r="AS240" s="87">
        <v>0.05</v>
      </c>
      <c r="AT240" s="88">
        <v>0.03</v>
      </c>
      <c r="AU240" s="89">
        <f>SUMPRODUCT($AM$236:$AT$236,AM240:AT240)</f>
        <v>43.924999999999997</v>
      </c>
      <c r="AV240" s="90">
        <f>(SUMPRODUCT($AM$236:$AT$236,AM240:AT240))*$AV$236*AL240</f>
        <v>235339.19575402007</v>
      </c>
      <c r="AW240" s="90">
        <f>AV240/$AW$236</f>
        <v>3922.3199292336676</v>
      </c>
      <c r="AX240" s="91">
        <f>AW240*(1+$AX$236)</f>
        <v>4706.7839150804011</v>
      </c>
    </row>
    <row r="241" spans="2:50" ht="15.75" customHeight="1" x14ac:dyDescent="0.25">
      <c r="B241" s="13" t="s">
        <v>0</v>
      </c>
      <c r="D241" s="84">
        <v>5529.2136120401337</v>
      </c>
      <c r="E241" s="87">
        <v>0.2</v>
      </c>
      <c r="F241" s="92">
        <v>0.25</v>
      </c>
      <c r="G241" s="87">
        <v>0.3</v>
      </c>
      <c r="H241" s="87">
        <v>0.15</v>
      </c>
      <c r="I241" s="87">
        <v>0.05</v>
      </c>
      <c r="J241" s="87">
        <v>0.02</v>
      </c>
      <c r="K241" s="87">
        <v>0.02</v>
      </c>
      <c r="L241" s="88">
        <v>0.01</v>
      </c>
      <c r="M241" s="89">
        <f>SUMPRODUCT($E$236:$L$236,E241:L241)</f>
        <v>15.2</v>
      </c>
      <c r="N241" s="90">
        <f>(SUMPRODUCT($E$236:$L$236,E241:L241))*$N$236*D241</f>
        <v>16808.809380602008</v>
      </c>
      <c r="O241" s="90">
        <f>N241/$O$236</f>
        <v>280.14682301003347</v>
      </c>
      <c r="P241" s="91">
        <f>O241*(1+$P$236)</f>
        <v>336.17618761204017</v>
      </c>
      <c r="S241" s="13" t="s">
        <v>0</v>
      </c>
      <c r="U241" s="84">
        <v>7440.1098363612036</v>
      </c>
      <c r="V241" s="87">
        <v>0.2</v>
      </c>
      <c r="W241" s="92">
        <v>0.25</v>
      </c>
      <c r="X241" s="87">
        <v>0.3</v>
      </c>
      <c r="Y241" s="87">
        <v>0.15</v>
      </c>
      <c r="Z241" s="87">
        <v>0.05</v>
      </c>
      <c r="AA241" s="87">
        <v>0.02</v>
      </c>
      <c r="AB241" s="87">
        <v>0.02</v>
      </c>
      <c r="AC241" s="88">
        <v>0.01</v>
      </c>
      <c r="AD241" s="89">
        <f>SUMPRODUCT($V$236:$AC$236,V241:AC241)</f>
        <v>15.2</v>
      </c>
      <c r="AE241" s="90">
        <f>(SUMPRODUCT($V$236:$AC$236,V241:AC241))*$AE$236*U241</f>
        <v>22617.933902538058</v>
      </c>
      <c r="AF241" s="90">
        <f>AE241/$AF$236</f>
        <v>376.96556504230097</v>
      </c>
      <c r="AG241" s="91">
        <f>AF241*(1+$AG$236)</f>
        <v>452.35867805076117</v>
      </c>
      <c r="AJ241" s="13" t="s">
        <v>0</v>
      </c>
      <c r="AL241" s="84">
        <v>15626.77262642895</v>
      </c>
      <c r="AM241" s="87">
        <v>0.2</v>
      </c>
      <c r="AN241" s="92">
        <v>0.25</v>
      </c>
      <c r="AO241" s="87">
        <v>0.3</v>
      </c>
      <c r="AP241" s="87">
        <v>0.15</v>
      </c>
      <c r="AQ241" s="87">
        <v>0.05</v>
      </c>
      <c r="AR241" s="87">
        <v>0.02</v>
      </c>
      <c r="AS241" s="87">
        <v>0.02</v>
      </c>
      <c r="AT241" s="88">
        <v>0.01</v>
      </c>
      <c r="AU241" s="89">
        <f>SUMPRODUCT($AM$236:$AT$236,AM241:AT241)</f>
        <v>15.2</v>
      </c>
      <c r="AV241" s="90">
        <f>(SUMPRODUCT($AM$236:$AT$236,AM241:AT241))*$AV$236*AL241</f>
        <v>47505.38878434401</v>
      </c>
      <c r="AW241" s="90">
        <f>AV241/$AW$236</f>
        <v>791.75647973906678</v>
      </c>
      <c r="AX241" s="91">
        <f>AW241*(1+$AX$236)</f>
        <v>950.10777568688013</v>
      </c>
    </row>
    <row r="242" spans="2:50" ht="15.75" customHeight="1" x14ac:dyDescent="0.25">
      <c r="B242" s="13" t="s">
        <v>34</v>
      </c>
      <c r="D242" s="84">
        <v>14086.329916387958</v>
      </c>
      <c r="E242" s="87">
        <v>0.05</v>
      </c>
      <c r="F242" s="92">
        <v>0.15</v>
      </c>
      <c r="G242" s="87">
        <v>0.2</v>
      </c>
      <c r="H242" s="87">
        <v>0.24</v>
      </c>
      <c r="I242" s="87">
        <v>0.15</v>
      </c>
      <c r="J242" s="87">
        <v>0.15</v>
      </c>
      <c r="K242" s="87">
        <v>0.05</v>
      </c>
      <c r="L242" s="88">
        <v>0.01</v>
      </c>
      <c r="M242" s="89">
        <f>SUMPRODUCT($E$236:$L$236,E242:L242)</f>
        <v>25.774999999999999</v>
      </c>
      <c r="N242" s="90">
        <f>(SUMPRODUCT($E$236:$L$236,E242:L242))*$N$236*D242</f>
        <v>72615.030718979935</v>
      </c>
      <c r="O242" s="90">
        <f>N242/$O$236</f>
        <v>1210.2505119829989</v>
      </c>
      <c r="P242" s="91">
        <f>O242*(1+$P$236)</f>
        <v>1452.3006143795985</v>
      </c>
      <c r="S242" s="13" t="s">
        <v>34</v>
      </c>
      <c r="U242" s="84">
        <v>18954.565535491634</v>
      </c>
      <c r="V242" s="87">
        <v>0.05</v>
      </c>
      <c r="W242" s="92">
        <v>0.15</v>
      </c>
      <c r="X242" s="87">
        <v>0.2</v>
      </c>
      <c r="Y242" s="87">
        <v>0.24</v>
      </c>
      <c r="Z242" s="87">
        <v>0.15</v>
      </c>
      <c r="AA242" s="87">
        <v>0.15</v>
      </c>
      <c r="AB242" s="87">
        <v>0.05</v>
      </c>
      <c r="AC242" s="88">
        <v>0.01</v>
      </c>
      <c r="AD242" s="89">
        <f>SUMPRODUCT($V$236:$AC$236,V242:AC242)</f>
        <v>25.774999999999999</v>
      </c>
      <c r="AE242" s="90">
        <f>(SUMPRODUCT($V$236:$AC$236,V242:AC242))*$AE$236*U242</f>
        <v>97710.785335459383</v>
      </c>
      <c r="AF242" s="90">
        <f>AE242/$AF$236</f>
        <v>1628.513088924323</v>
      </c>
      <c r="AG242" s="91">
        <f>AF242*(1+$AG$236)</f>
        <v>1954.2157067091875</v>
      </c>
      <c r="AJ242" s="13" t="s">
        <v>34</v>
      </c>
      <c r="AL242" s="84">
        <v>39811.063595902328</v>
      </c>
      <c r="AM242" s="87">
        <v>0.05</v>
      </c>
      <c r="AN242" s="92">
        <v>0.15</v>
      </c>
      <c r="AO242" s="87">
        <v>0.2</v>
      </c>
      <c r="AP242" s="87">
        <v>0.24</v>
      </c>
      <c r="AQ242" s="87">
        <v>0.15</v>
      </c>
      <c r="AR242" s="87">
        <v>0.15</v>
      </c>
      <c r="AS242" s="87">
        <v>0.05</v>
      </c>
      <c r="AT242" s="88">
        <v>0.01</v>
      </c>
      <c r="AU242" s="89">
        <f>SUMPRODUCT($AM$236:$AT$236,AM242:AT242)</f>
        <v>25.774999999999999</v>
      </c>
      <c r="AV242" s="90">
        <f>(SUMPRODUCT($AM$236:$AT$236,AM242:AT242))*$AV$236*AL242</f>
        <v>205226.03283687652</v>
      </c>
      <c r="AW242" s="90">
        <f>AV242/$AW$236</f>
        <v>3420.4338806146088</v>
      </c>
      <c r="AX242" s="91">
        <f>AW242*(1+$AX$236)</f>
        <v>4104.5206567375308</v>
      </c>
    </row>
    <row r="243" spans="2:50" ht="15.75" customHeight="1" x14ac:dyDescent="0.25">
      <c r="B243" s="13" t="s">
        <v>35</v>
      </c>
      <c r="D243" s="84">
        <v>3817.7903511705681</v>
      </c>
      <c r="E243" s="87">
        <v>0.12</v>
      </c>
      <c r="F243" s="92">
        <v>0.1</v>
      </c>
      <c r="G243" s="87">
        <v>0.1</v>
      </c>
      <c r="H243" s="87">
        <v>0.2</v>
      </c>
      <c r="I243" s="87">
        <v>0.3</v>
      </c>
      <c r="J243" s="87">
        <v>0.1</v>
      </c>
      <c r="K243" s="87">
        <v>0.05</v>
      </c>
      <c r="L243" s="88">
        <v>0.03</v>
      </c>
      <c r="M243" s="89">
        <f>SUMPRODUCT($E$236:$L$236,E243:L243)</f>
        <v>44.36</v>
      </c>
      <c r="N243" s="90">
        <f>(SUMPRODUCT($E$236:$L$236,E243:L243))*$N$236*D243</f>
        <v>33871.435995585278</v>
      </c>
      <c r="O243" s="90">
        <f>N243/$O$236</f>
        <v>564.52393325975459</v>
      </c>
      <c r="P243" s="91">
        <f>O243*(1+$P$236)</f>
        <v>677.42871991170546</v>
      </c>
      <c r="S243" s="13" t="s">
        <v>35</v>
      </c>
      <c r="U243" s="84">
        <v>5137.2186965351157</v>
      </c>
      <c r="V243" s="87">
        <v>0.12</v>
      </c>
      <c r="W243" s="92">
        <v>0.1</v>
      </c>
      <c r="X243" s="87">
        <v>0.1</v>
      </c>
      <c r="Y243" s="87">
        <v>0.2</v>
      </c>
      <c r="Z243" s="87">
        <v>0.3</v>
      </c>
      <c r="AA243" s="87">
        <v>0.1</v>
      </c>
      <c r="AB243" s="87">
        <v>0.05</v>
      </c>
      <c r="AC243" s="88">
        <v>0.03</v>
      </c>
      <c r="AD243" s="89">
        <f>SUMPRODUCT($V$236:$AC$236,V243:AC243)</f>
        <v>44.36</v>
      </c>
      <c r="AE243" s="90">
        <f>(SUMPRODUCT($V$236:$AC$236,V243:AC243))*$AE$236*U243</f>
        <v>45577.404275659545</v>
      </c>
      <c r="AF243" s="90">
        <f>AE243/$AF$236</f>
        <v>759.62340459432573</v>
      </c>
      <c r="AG243" s="91">
        <f>AF243*(1+$AG$236)</f>
        <v>911.54808551319081</v>
      </c>
      <c r="AJ243" s="13" t="s">
        <v>35</v>
      </c>
      <c r="AL243" s="84">
        <v>10789.914432534275</v>
      </c>
      <c r="AM243" s="87">
        <v>0.12</v>
      </c>
      <c r="AN243" s="92">
        <v>0.1</v>
      </c>
      <c r="AO243" s="87">
        <v>0.1</v>
      </c>
      <c r="AP243" s="87">
        <v>0.2</v>
      </c>
      <c r="AQ243" s="87">
        <v>0.3</v>
      </c>
      <c r="AR243" s="87">
        <v>0.1</v>
      </c>
      <c r="AS243" s="87">
        <v>0.05</v>
      </c>
      <c r="AT243" s="88">
        <v>0.03</v>
      </c>
      <c r="AU243" s="89">
        <f>SUMPRODUCT($AM$236:$AT$236,AM243:AT243)</f>
        <v>44.36</v>
      </c>
      <c r="AV243" s="90">
        <f>(SUMPRODUCT($AM$236:$AT$236,AM243:AT243))*$AV$236*AL243</f>
        <v>95728.120845444093</v>
      </c>
      <c r="AW243" s="90">
        <f>AV243/$AW$236</f>
        <v>1595.4686807574014</v>
      </c>
      <c r="AX243" s="91">
        <f>AW243*(1+$AX$236)</f>
        <v>1914.5624169088817</v>
      </c>
    </row>
    <row r="244" spans="2:50" ht="31.5" customHeight="1" x14ac:dyDescent="0.25">
      <c r="B244" s="13" t="s">
        <v>36</v>
      </c>
      <c r="D244" s="84">
        <v>2632.958862876254</v>
      </c>
      <c r="E244" s="87">
        <v>0.05</v>
      </c>
      <c r="F244" s="92">
        <v>0.2</v>
      </c>
      <c r="G244" s="87">
        <v>0.3</v>
      </c>
      <c r="H244" s="87">
        <v>0.15</v>
      </c>
      <c r="I244" s="87">
        <v>0.14000000000000001</v>
      </c>
      <c r="J244" s="87">
        <v>0.1</v>
      </c>
      <c r="K244" s="87">
        <v>0.05</v>
      </c>
      <c r="L244" s="88">
        <v>0.01</v>
      </c>
      <c r="M244" s="89">
        <f>SUMPRODUCT($E$236:$L$236,E244:L244)</f>
        <v>22.975000000000001</v>
      </c>
      <c r="N244" s="90">
        <f>(SUMPRODUCT($E$236:$L$236,E244:L244))*$N$236*D244</f>
        <v>12098.445974916389</v>
      </c>
      <c r="O244" s="90">
        <f>N244/$O$236</f>
        <v>201.64076624860647</v>
      </c>
      <c r="P244" s="91">
        <f>O244*(1+$P$236)</f>
        <v>241.96891949832775</v>
      </c>
      <c r="S244" s="13" t="s">
        <v>36</v>
      </c>
      <c r="U244" s="84">
        <v>3542.9094458862869</v>
      </c>
      <c r="V244" s="87">
        <v>0.05</v>
      </c>
      <c r="W244" s="92">
        <v>0.2</v>
      </c>
      <c r="X244" s="87">
        <v>0.3</v>
      </c>
      <c r="Y244" s="87">
        <v>0.15</v>
      </c>
      <c r="Z244" s="87">
        <v>0.14000000000000001</v>
      </c>
      <c r="AA244" s="87">
        <v>0.1</v>
      </c>
      <c r="AB244" s="87">
        <v>0.05</v>
      </c>
      <c r="AC244" s="88">
        <v>0.01</v>
      </c>
      <c r="AD244" s="89">
        <f>SUMPRODUCT($V$236:$AC$236,V244:AC244)</f>
        <v>22.975000000000001</v>
      </c>
      <c r="AE244" s="90">
        <f>(SUMPRODUCT($V$236:$AC$236,V244:AC244))*$AE$236*U244</f>
        <v>16279.668903847491</v>
      </c>
      <c r="AF244" s="90">
        <f>AE244/$AF$236</f>
        <v>271.32781506412482</v>
      </c>
      <c r="AG244" s="91">
        <f>AF244*(1+$AG$236)</f>
        <v>325.59337807694976</v>
      </c>
      <c r="AJ244" s="13" t="s">
        <v>36</v>
      </c>
      <c r="AL244" s="84">
        <v>7441.3202982994999</v>
      </c>
      <c r="AM244" s="87">
        <v>0.05</v>
      </c>
      <c r="AN244" s="92">
        <v>0.2</v>
      </c>
      <c r="AO244" s="87">
        <v>0.3</v>
      </c>
      <c r="AP244" s="87">
        <v>0.15</v>
      </c>
      <c r="AQ244" s="87">
        <v>0.14000000000000001</v>
      </c>
      <c r="AR244" s="87">
        <v>0.1</v>
      </c>
      <c r="AS244" s="87">
        <v>0.05</v>
      </c>
      <c r="AT244" s="88">
        <v>0.01</v>
      </c>
      <c r="AU244" s="89">
        <f>SUMPRODUCT($AM$236:$AT$236,AM244:AT244)</f>
        <v>22.975000000000001</v>
      </c>
      <c r="AV244" s="90">
        <f>(SUMPRODUCT($AM$236:$AT$236,AM244:AT244))*$AV$236*AL244</f>
        <v>34192.866770686203</v>
      </c>
      <c r="AW244" s="90">
        <f>AV244/$AW$236</f>
        <v>569.88111284477009</v>
      </c>
      <c r="AX244" s="91">
        <f>AW244*(1+$AX$236)</f>
        <v>683.85733541372406</v>
      </c>
    </row>
    <row r="245" spans="2:50" ht="15.75" customHeight="1" x14ac:dyDescent="0.25">
      <c r="B245" s="13" t="s">
        <v>37</v>
      </c>
      <c r="D245" s="84">
        <v>3949.438294314381</v>
      </c>
      <c r="E245" s="87">
        <v>0.05</v>
      </c>
      <c r="F245" s="92">
        <v>0.1</v>
      </c>
      <c r="G245" s="87">
        <v>0.1</v>
      </c>
      <c r="H245" s="87">
        <v>0.15</v>
      </c>
      <c r="I245" s="87">
        <v>0.25</v>
      </c>
      <c r="J245" s="87">
        <v>0.16</v>
      </c>
      <c r="K245" s="87">
        <v>0.15</v>
      </c>
      <c r="L245" s="88">
        <v>0.04</v>
      </c>
      <c r="M245" s="89">
        <f>SUMPRODUCT($E$236:$L$236,E245:L245)</f>
        <v>66.575000000000003</v>
      </c>
      <c r="N245" s="90">
        <f>(SUMPRODUCT($E$236:$L$236,E245:L245))*$N$236*D245</f>
        <v>52586.770888795989</v>
      </c>
      <c r="O245" s="90">
        <f>N245/$O$236</f>
        <v>876.4461814799331</v>
      </c>
      <c r="P245" s="91">
        <f>O245*(1+$P$236)</f>
        <v>1051.7354177759196</v>
      </c>
      <c r="S245" s="13" t="s">
        <v>37</v>
      </c>
      <c r="U245" s="84">
        <v>5314.364168829431</v>
      </c>
      <c r="V245" s="87">
        <v>0.05</v>
      </c>
      <c r="W245" s="92">
        <v>0.1</v>
      </c>
      <c r="X245" s="87">
        <v>0.1</v>
      </c>
      <c r="Y245" s="87">
        <v>0.15</v>
      </c>
      <c r="Z245" s="87">
        <v>0.25</v>
      </c>
      <c r="AA245" s="87">
        <v>0.16</v>
      </c>
      <c r="AB245" s="87">
        <v>0.15</v>
      </c>
      <c r="AC245" s="88">
        <v>0.04</v>
      </c>
      <c r="AD245" s="89">
        <f>SUMPRODUCT($V$236:$AC$236,V245:AC245)</f>
        <v>66.575000000000003</v>
      </c>
      <c r="AE245" s="90">
        <f>(SUMPRODUCT($V$236:$AC$236,V245:AC245))*$AE$236*U245</f>
        <v>70760.758907963886</v>
      </c>
      <c r="AF245" s="90">
        <f>AE245/$AF$236</f>
        <v>1179.345981799398</v>
      </c>
      <c r="AG245" s="91">
        <f>AF245*(1+$AG$236)</f>
        <v>1415.2151781592777</v>
      </c>
      <c r="AJ245" s="13" t="s">
        <v>37</v>
      </c>
      <c r="AL245" s="84">
        <v>11161.98044744925</v>
      </c>
      <c r="AM245" s="87">
        <v>0.05</v>
      </c>
      <c r="AN245" s="92">
        <v>0.1</v>
      </c>
      <c r="AO245" s="87">
        <v>0.1</v>
      </c>
      <c r="AP245" s="87">
        <v>0.15</v>
      </c>
      <c r="AQ245" s="87">
        <v>0.25</v>
      </c>
      <c r="AR245" s="87">
        <v>0.16</v>
      </c>
      <c r="AS245" s="87">
        <v>0.15</v>
      </c>
      <c r="AT245" s="88">
        <v>0.04</v>
      </c>
      <c r="AU245" s="89">
        <f>SUMPRODUCT($AM$236:$AT$236,AM245:AT245)</f>
        <v>66.575000000000003</v>
      </c>
      <c r="AV245" s="90">
        <f>(SUMPRODUCT($AM$236:$AT$236,AM245:AT245))*$AV$236*AL245</f>
        <v>148621.76965778679</v>
      </c>
      <c r="AW245" s="90">
        <f>AV245/$AW$236</f>
        <v>2477.0294942964465</v>
      </c>
      <c r="AX245" s="91">
        <f>AW245*(1+$AX$236)</f>
        <v>2972.4353931557357</v>
      </c>
    </row>
    <row r="246" spans="2:50" ht="47.25" customHeight="1" x14ac:dyDescent="0.25">
      <c r="B246" s="13" t="s">
        <v>38</v>
      </c>
      <c r="D246" s="84">
        <v>5924.1574414715715</v>
      </c>
      <c r="E246" s="87">
        <v>0.3</v>
      </c>
      <c r="F246" s="92">
        <v>0.25</v>
      </c>
      <c r="G246" s="87">
        <v>0.25</v>
      </c>
      <c r="H246" s="87">
        <v>0.1</v>
      </c>
      <c r="I246" s="87">
        <v>0.05</v>
      </c>
      <c r="J246" s="87">
        <v>0.02</v>
      </c>
      <c r="K246" s="87">
        <v>0.02</v>
      </c>
      <c r="L246" s="88">
        <v>0.01</v>
      </c>
      <c r="M246" s="89">
        <f>SUMPRODUCT($E$236:$L$236,E246:L246)</f>
        <v>14.9</v>
      </c>
      <c r="N246" s="90">
        <f>(SUMPRODUCT($E$236:$L$236,E246:L246))*$N$236*D246</f>
        <v>17653.989175585284</v>
      </c>
      <c r="O246" s="90">
        <f>N246/$O$236</f>
        <v>294.23315292642138</v>
      </c>
      <c r="P246" s="91">
        <f>O246*(1+$P$236)</f>
        <v>353.07978351170567</v>
      </c>
      <c r="S246" s="13" t="s">
        <v>38</v>
      </c>
      <c r="U246" s="84">
        <v>7971.5462532441461</v>
      </c>
      <c r="V246" s="87">
        <v>0.3</v>
      </c>
      <c r="W246" s="92">
        <v>0.25</v>
      </c>
      <c r="X246" s="87">
        <v>0.25</v>
      </c>
      <c r="Y246" s="87">
        <v>0.1</v>
      </c>
      <c r="Z246" s="87">
        <v>0.05</v>
      </c>
      <c r="AA246" s="87">
        <v>0.02</v>
      </c>
      <c r="AB246" s="87">
        <v>0.02</v>
      </c>
      <c r="AC246" s="88">
        <v>0.01</v>
      </c>
      <c r="AD246" s="89">
        <f>SUMPRODUCT($V$236:$AC$236,V246:AC246)</f>
        <v>14.9</v>
      </c>
      <c r="AE246" s="90">
        <f>(SUMPRODUCT($V$236:$AC$236,V246:AC246))*$AE$236*U246</f>
        <v>23755.207834667559</v>
      </c>
      <c r="AF246" s="90">
        <f>AE246/$AF$236</f>
        <v>395.92013057779263</v>
      </c>
      <c r="AG246" s="91">
        <f>AF246*(1+$AG$236)</f>
        <v>475.10415669335111</v>
      </c>
      <c r="AJ246" s="13" t="s">
        <v>38</v>
      </c>
      <c r="AL246" s="84">
        <v>16742.970671173876</v>
      </c>
      <c r="AM246" s="87">
        <v>0.3</v>
      </c>
      <c r="AN246" s="92">
        <v>0.25</v>
      </c>
      <c r="AO246" s="87">
        <v>0.25</v>
      </c>
      <c r="AP246" s="87">
        <v>0.1</v>
      </c>
      <c r="AQ246" s="87">
        <v>0.05</v>
      </c>
      <c r="AR246" s="87">
        <v>0.02</v>
      </c>
      <c r="AS246" s="87">
        <v>0.02</v>
      </c>
      <c r="AT246" s="88">
        <v>0.01</v>
      </c>
      <c r="AU246" s="89">
        <f>SUMPRODUCT($AM$236:$AT$236,AM246:AT246)</f>
        <v>14.9</v>
      </c>
      <c r="AV246" s="90">
        <f>(SUMPRODUCT($AM$236:$AT$236,AM246:AT246))*$AV$236*AL246</f>
        <v>49894.052600098155</v>
      </c>
      <c r="AW246" s="90">
        <f>AV246/$AW$236</f>
        <v>831.56754333496929</v>
      </c>
      <c r="AX246" s="91">
        <f>AW246*(1+$AX$236)</f>
        <v>997.8810520019631</v>
      </c>
    </row>
    <row r="247" spans="2:50" ht="15.75" customHeight="1" x14ac:dyDescent="0.25">
      <c r="B247" s="13" t="s">
        <v>39</v>
      </c>
      <c r="D247" s="84">
        <v>7635.5807023411362</v>
      </c>
      <c r="E247" s="87">
        <v>0.1</v>
      </c>
      <c r="F247" s="92">
        <v>0.12</v>
      </c>
      <c r="G247" s="87">
        <v>0.12</v>
      </c>
      <c r="H247" s="87">
        <v>0.1</v>
      </c>
      <c r="I247" s="87">
        <v>0.18</v>
      </c>
      <c r="J247" s="87">
        <v>0.2</v>
      </c>
      <c r="K247" s="87">
        <v>0.15</v>
      </c>
      <c r="L247" s="88">
        <v>0.03</v>
      </c>
      <c r="M247" s="89">
        <f>SUMPRODUCT($E$236:$L$236,E247:L247)</f>
        <v>57.71</v>
      </c>
      <c r="N247" s="90">
        <f>(SUMPRODUCT($E$236:$L$236,E247:L247))*$N$236*D247</f>
        <v>88129.87246642141</v>
      </c>
      <c r="O247" s="90">
        <f>N247/$O$236</f>
        <v>1468.8312077736903</v>
      </c>
      <c r="P247" s="91">
        <f>O247*(1+$P$236)</f>
        <v>1762.5974493284282</v>
      </c>
      <c r="S247" s="13" t="s">
        <v>39</v>
      </c>
      <c r="U247" s="84">
        <v>10274.437393070231</v>
      </c>
      <c r="V247" s="87">
        <v>0.1</v>
      </c>
      <c r="W247" s="92">
        <v>0.12</v>
      </c>
      <c r="X247" s="87">
        <v>0.12</v>
      </c>
      <c r="Y247" s="87">
        <v>0.1</v>
      </c>
      <c r="Z247" s="87">
        <v>0.18</v>
      </c>
      <c r="AA247" s="87">
        <v>0.2</v>
      </c>
      <c r="AB247" s="87">
        <v>0.15</v>
      </c>
      <c r="AC247" s="88">
        <v>0.03</v>
      </c>
      <c r="AD247" s="89">
        <f>SUMPRODUCT($V$236:$AC$236,V247:AC247)</f>
        <v>57.71</v>
      </c>
      <c r="AE247" s="90">
        <f>(SUMPRODUCT($V$236:$AC$236,V247:AC247))*$AE$236*U247</f>
        <v>118587.55639081662</v>
      </c>
      <c r="AF247" s="90">
        <f>AE247/$AF$236</f>
        <v>1976.459273180277</v>
      </c>
      <c r="AG247" s="91">
        <f>AF247*(1+$AG$236)</f>
        <v>2371.7511278163324</v>
      </c>
      <c r="AJ247" s="13" t="s">
        <v>39</v>
      </c>
      <c r="AL247" s="84">
        <v>21579.82886506855</v>
      </c>
      <c r="AM247" s="87">
        <v>0.1</v>
      </c>
      <c r="AN247" s="92">
        <v>0.12</v>
      </c>
      <c r="AO247" s="87">
        <v>0.12</v>
      </c>
      <c r="AP247" s="87">
        <v>0.1</v>
      </c>
      <c r="AQ247" s="87">
        <v>0.18</v>
      </c>
      <c r="AR247" s="87">
        <v>0.2</v>
      </c>
      <c r="AS247" s="87">
        <v>0.15</v>
      </c>
      <c r="AT247" s="88">
        <v>0.03</v>
      </c>
      <c r="AU247" s="89">
        <f>SUMPRODUCT($AM$236:$AT$236,AM247:AT247)</f>
        <v>57.71</v>
      </c>
      <c r="AV247" s="90">
        <f>(SUMPRODUCT($AM$236:$AT$236,AM247:AT247))*$AV$236*AL247</f>
        <v>249074.38476062124</v>
      </c>
      <c r="AW247" s="90">
        <f>AV247/$AW$236</f>
        <v>4151.2397460103539</v>
      </c>
      <c r="AX247" s="91">
        <f>AW247*(1+$AX$236)</f>
        <v>4981.4876952124241</v>
      </c>
    </row>
    <row r="248" spans="2:50" ht="15.75" customHeight="1" x14ac:dyDescent="0.25">
      <c r="B248" s="13" t="s">
        <v>3</v>
      </c>
      <c r="D248" s="84">
        <v>11585.018996655519</v>
      </c>
      <c r="E248" s="87">
        <v>0.1</v>
      </c>
      <c r="F248" s="92">
        <v>0.15</v>
      </c>
      <c r="G248" s="87">
        <v>0.2</v>
      </c>
      <c r="H248" s="87">
        <v>0.18</v>
      </c>
      <c r="I248" s="87">
        <v>0.15</v>
      </c>
      <c r="J248" s="87">
        <v>0.1</v>
      </c>
      <c r="K248" s="87">
        <v>0.1</v>
      </c>
      <c r="L248" s="88">
        <v>0.02</v>
      </c>
      <c r="M248" s="89">
        <f>SUMPRODUCT($E$236:$L$236,E248:L248)</f>
        <v>38</v>
      </c>
      <c r="N248" s="90">
        <f>(SUMPRODUCT($E$236:$L$236,E248:L248))*$N$236*D248</f>
        <v>88046.144374581956</v>
      </c>
      <c r="O248" s="90">
        <f>N248/$O$236</f>
        <v>1467.4357395763659</v>
      </c>
      <c r="P248" s="91">
        <f>O248*(1+$P$236)</f>
        <v>1760.9228874916391</v>
      </c>
      <c r="S248" s="13" t="s">
        <v>3</v>
      </c>
      <c r="U248" s="84">
        <v>15588.801561899665</v>
      </c>
      <c r="V248" s="87">
        <v>0.1</v>
      </c>
      <c r="W248" s="92">
        <v>0.15</v>
      </c>
      <c r="X248" s="87">
        <v>0.2</v>
      </c>
      <c r="Y248" s="87">
        <v>0.18</v>
      </c>
      <c r="Z248" s="87">
        <v>0.15</v>
      </c>
      <c r="AA248" s="87">
        <v>0.1</v>
      </c>
      <c r="AB248" s="87">
        <v>0.1</v>
      </c>
      <c r="AC248" s="88">
        <v>0.02</v>
      </c>
      <c r="AD248" s="89">
        <f>SUMPRODUCT($V$236:$AC$236,V248:AC248)</f>
        <v>38</v>
      </c>
      <c r="AE248" s="90">
        <f>(SUMPRODUCT($V$236:$AC$236,V248:AC248))*$AE$236*U248</f>
        <v>118474.89187043747</v>
      </c>
      <c r="AF248" s="90">
        <f>AE248/$AF$236</f>
        <v>1974.5815311739577</v>
      </c>
      <c r="AG248" s="91">
        <f>AF248*(1+$AG$236)</f>
        <v>2369.4978374087491</v>
      </c>
      <c r="AJ248" s="13" t="s">
        <v>3</v>
      </c>
      <c r="AL248" s="84">
        <v>32741.809312517806</v>
      </c>
      <c r="AM248" s="87">
        <v>0.1</v>
      </c>
      <c r="AN248" s="92">
        <v>0.15</v>
      </c>
      <c r="AO248" s="87">
        <v>0.2</v>
      </c>
      <c r="AP248" s="87">
        <v>0.18</v>
      </c>
      <c r="AQ248" s="87">
        <v>0.15</v>
      </c>
      <c r="AR248" s="87">
        <v>0.1</v>
      </c>
      <c r="AS248" s="87">
        <v>0.1</v>
      </c>
      <c r="AT248" s="88">
        <v>0.02</v>
      </c>
      <c r="AU248" s="89">
        <f>SUMPRODUCT($AM$236:$AT$236,AM248:AT248)</f>
        <v>38</v>
      </c>
      <c r="AV248" s="90">
        <f>(SUMPRODUCT($AM$236:$AT$236,AM248:AT248))*$AV$236*AL248</f>
        <v>248837.75077513533</v>
      </c>
      <c r="AW248" s="90">
        <f>AV248/$AW$236</f>
        <v>4147.2958462522556</v>
      </c>
      <c r="AX248" s="91">
        <f>AW248*(1+$AX$236)</f>
        <v>4976.7550155027066</v>
      </c>
    </row>
    <row r="249" spans="2:50" ht="31.5" customHeight="1" x14ac:dyDescent="0.25">
      <c r="B249" s="13" t="s">
        <v>40</v>
      </c>
      <c r="D249" s="84">
        <v>1448.1273745819399</v>
      </c>
      <c r="E249" s="87">
        <v>0.25</v>
      </c>
      <c r="F249" s="92">
        <v>0.2</v>
      </c>
      <c r="G249" s="87">
        <v>0.17</v>
      </c>
      <c r="H249" s="87">
        <v>0.15</v>
      </c>
      <c r="I249" s="87">
        <v>0.1</v>
      </c>
      <c r="J249" s="87">
        <v>0.1</v>
      </c>
      <c r="K249" s="87">
        <v>0.02</v>
      </c>
      <c r="L249" s="88">
        <v>0.01</v>
      </c>
      <c r="M249" s="89">
        <f>SUMPRODUCT($E$236:$L$236,E249:L249)</f>
        <v>19.414999999999999</v>
      </c>
      <c r="N249" s="90">
        <f>(SUMPRODUCT($E$236:$L$236,E249:L249))*$N$236*D249</f>
        <v>5623.0785955016727</v>
      </c>
      <c r="O249" s="90">
        <f>N249/$O$236</f>
        <v>93.717976591694551</v>
      </c>
      <c r="P249" s="91">
        <f>O249*(1+$P$236)</f>
        <v>112.46157191003346</v>
      </c>
      <c r="S249" s="13" t="s">
        <v>40</v>
      </c>
      <c r="U249" s="84">
        <v>1948.6001952374581</v>
      </c>
      <c r="V249" s="87">
        <v>0.25</v>
      </c>
      <c r="W249" s="92">
        <v>0.2</v>
      </c>
      <c r="X249" s="87">
        <v>0.17</v>
      </c>
      <c r="Y249" s="87">
        <v>0.15</v>
      </c>
      <c r="Z249" s="87">
        <v>0.1</v>
      </c>
      <c r="AA249" s="87">
        <v>0.1</v>
      </c>
      <c r="AB249" s="87">
        <v>0.02</v>
      </c>
      <c r="AC249" s="88">
        <v>0.01</v>
      </c>
      <c r="AD249" s="89">
        <f>SUMPRODUCT($V$236:$AC$236,V249:AC249)</f>
        <v>19.414999999999999</v>
      </c>
      <c r="AE249" s="90">
        <f>(SUMPRODUCT($V$236:$AC$236,V249:AC249))*$AE$236*U249</f>
        <v>7566.4145581070497</v>
      </c>
      <c r="AF249" s="90">
        <f>AE249/$AF$236</f>
        <v>126.10690930178416</v>
      </c>
      <c r="AG249" s="91">
        <f>AF249*(1+$AG$236)</f>
        <v>151.32829116214097</v>
      </c>
      <c r="AJ249" s="13" t="s">
        <v>40</v>
      </c>
      <c r="AL249" s="84">
        <v>4092.7261640647257</v>
      </c>
      <c r="AM249" s="87">
        <v>0.25</v>
      </c>
      <c r="AN249" s="92">
        <v>0.2</v>
      </c>
      <c r="AO249" s="87">
        <v>0.17</v>
      </c>
      <c r="AP249" s="87">
        <v>0.15</v>
      </c>
      <c r="AQ249" s="87">
        <v>0.1</v>
      </c>
      <c r="AR249" s="87">
        <v>0.1</v>
      </c>
      <c r="AS249" s="87">
        <v>0.02</v>
      </c>
      <c r="AT249" s="88">
        <v>0.01</v>
      </c>
      <c r="AU249" s="89">
        <f>SUMPRODUCT($AM$236:$AT$236,AM249:AT249)</f>
        <v>19.414999999999999</v>
      </c>
      <c r="AV249" s="90">
        <f>(SUMPRODUCT($AM$236:$AT$236,AM249:AT249))*$AV$236*AL249</f>
        <v>15892.055695063331</v>
      </c>
      <c r="AW249" s="90">
        <f>AV249/$AW$236</f>
        <v>264.86759491772216</v>
      </c>
      <c r="AX249" s="91">
        <f>AW249*(1+$AX$236)</f>
        <v>317.84111390126657</v>
      </c>
    </row>
    <row r="250" spans="2:50" ht="15.75" customHeight="1" x14ac:dyDescent="0.25">
      <c r="B250" s="13" t="s">
        <v>2</v>
      </c>
      <c r="D250" s="84">
        <v>8952.060133779265</v>
      </c>
      <c r="E250" s="87">
        <v>0.3</v>
      </c>
      <c r="F250" s="92">
        <v>0.27</v>
      </c>
      <c r="G250" s="87">
        <v>0.2</v>
      </c>
      <c r="H250" s="87">
        <v>0.05</v>
      </c>
      <c r="I250" s="87">
        <v>0.1</v>
      </c>
      <c r="J250" s="87">
        <v>0.05</v>
      </c>
      <c r="K250" s="87">
        <v>0.02</v>
      </c>
      <c r="L250" s="88">
        <v>0.01</v>
      </c>
      <c r="M250" s="89">
        <f>SUMPRODUCT($E$236:$L$236,E250:L250)</f>
        <v>16.57</v>
      </c>
      <c r="N250" s="90">
        <f>(SUMPRODUCT($E$236:$L$236,E250:L250))*$N$236*D250</f>
        <v>29667.127283344485</v>
      </c>
      <c r="O250" s="90">
        <f>N250/$O$236</f>
        <v>494.45212138907476</v>
      </c>
      <c r="P250" s="91">
        <f>O250*(1+$P$236)</f>
        <v>593.34254566688969</v>
      </c>
      <c r="S250" s="13" t="s">
        <v>2</v>
      </c>
      <c r="U250" s="84">
        <v>12045.892116013378</v>
      </c>
      <c r="V250" s="87">
        <v>0.3</v>
      </c>
      <c r="W250" s="92">
        <v>0.27</v>
      </c>
      <c r="X250" s="87">
        <v>0.2</v>
      </c>
      <c r="Y250" s="87">
        <v>0.05</v>
      </c>
      <c r="Z250" s="87">
        <v>0.1</v>
      </c>
      <c r="AA250" s="87">
        <v>0.05</v>
      </c>
      <c r="AB250" s="87">
        <v>0.02</v>
      </c>
      <c r="AC250" s="88">
        <v>0.01</v>
      </c>
      <c r="AD250" s="89">
        <f>SUMPRODUCT($V$236:$AC$236,V250:AC250)</f>
        <v>16.57</v>
      </c>
      <c r="AE250" s="90">
        <f>(SUMPRODUCT($V$236:$AC$236,V250:AC250))*$AE$236*U250</f>
        <v>39920.086472468334</v>
      </c>
      <c r="AF250" s="90">
        <f>AE250/$AF$236</f>
        <v>665.33477454113893</v>
      </c>
      <c r="AG250" s="91">
        <f>AF250*(1+$AG$236)</f>
        <v>798.40172944936671</v>
      </c>
      <c r="AJ250" s="13" t="s">
        <v>2</v>
      </c>
      <c r="AL250" s="84">
        <v>25300.489014218303</v>
      </c>
      <c r="AM250" s="87">
        <v>0.3</v>
      </c>
      <c r="AN250" s="92">
        <v>0.27</v>
      </c>
      <c r="AO250" s="87">
        <v>0.2</v>
      </c>
      <c r="AP250" s="87">
        <v>0.05</v>
      </c>
      <c r="AQ250" s="87">
        <v>0.1</v>
      </c>
      <c r="AR250" s="87">
        <v>0.05</v>
      </c>
      <c r="AS250" s="87">
        <v>0.02</v>
      </c>
      <c r="AT250" s="88">
        <v>0.01</v>
      </c>
      <c r="AU250" s="89">
        <f>SUMPRODUCT($AM$236:$AT$236,AM250:AT250)</f>
        <v>16.57</v>
      </c>
      <c r="AV250" s="90">
        <f>(SUMPRODUCT($AM$236:$AT$236,AM250:AT250))*$AV$236*AL250</f>
        <v>83845.820593119453</v>
      </c>
      <c r="AW250" s="90">
        <f>AV250/$AW$236</f>
        <v>1397.4303432186575</v>
      </c>
      <c r="AX250" s="91">
        <f>AW250*(1+$AX$236)</f>
        <v>1676.9164118623889</v>
      </c>
    </row>
    <row r="251" spans="2:50" ht="15.75" customHeight="1" x14ac:dyDescent="0.25">
      <c r="B251" s="13" t="s">
        <v>41</v>
      </c>
      <c r="D251" s="84">
        <v>5792.5094983277595</v>
      </c>
      <c r="E251" s="87">
        <v>0.1</v>
      </c>
      <c r="F251" s="92">
        <v>0.14000000000000001</v>
      </c>
      <c r="G251" s="87">
        <v>0.15</v>
      </c>
      <c r="H251" s="87">
        <v>0.2</v>
      </c>
      <c r="I251" s="87">
        <v>0.25</v>
      </c>
      <c r="J251" s="87">
        <v>0.1</v>
      </c>
      <c r="K251" s="87">
        <v>0.05</v>
      </c>
      <c r="L251" s="88">
        <v>0.01</v>
      </c>
      <c r="M251" s="89">
        <f>SUMPRODUCT($E$236:$L$236,E251:L251)</f>
        <v>23.990000000000002</v>
      </c>
      <c r="N251" s="90">
        <f>(SUMPRODUCT($E$236:$L$236,E251:L251))*$N$236*D251</f>
        <v>27792.460572976597</v>
      </c>
      <c r="O251" s="90">
        <f>N251/$O$236</f>
        <v>463.20767621627664</v>
      </c>
      <c r="P251" s="91">
        <f>O251*(1+$P$236)</f>
        <v>555.84921145953194</v>
      </c>
      <c r="S251" s="13" t="s">
        <v>41</v>
      </c>
      <c r="U251" s="84">
        <v>7794.4007809498326</v>
      </c>
      <c r="V251" s="87">
        <v>0.1</v>
      </c>
      <c r="W251" s="92">
        <v>0.14000000000000001</v>
      </c>
      <c r="X251" s="87">
        <v>0.15</v>
      </c>
      <c r="Y251" s="87">
        <v>0.2</v>
      </c>
      <c r="Z251" s="87">
        <v>0.25</v>
      </c>
      <c r="AA251" s="87">
        <v>0.1</v>
      </c>
      <c r="AB251" s="87">
        <v>0.05</v>
      </c>
      <c r="AC251" s="88">
        <v>0.01</v>
      </c>
      <c r="AD251" s="89">
        <f>SUMPRODUCT($V$236:$AC$236,V251:AC251)</f>
        <v>23.990000000000002</v>
      </c>
      <c r="AE251" s="90">
        <f>(SUMPRODUCT($V$236:$AC$236,V251:AC251))*$AE$236*U251</f>
        <v>37397.534946997301</v>
      </c>
      <c r="AF251" s="90">
        <f>AE251/$AF$236</f>
        <v>623.29224911662163</v>
      </c>
      <c r="AG251" s="91">
        <f>AF251*(1+$AG$236)</f>
        <v>747.95069893994594</v>
      </c>
      <c r="AJ251" s="13" t="s">
        <v>41</v>
      </c>
      <c r="AL251" s="84">
        <v>16370.904656258903</v>
      </c>
      <c r="AM251" s="87">
        <v>0.1</v>
      </c>
      <c r="AN251" s="92">
        <v>0.14000000000000001</v>
      </c>
      <c r="AO251" s="87">
        <v>0.15</v>
      </c>
      <c r="AP251" s="87">
        <v>0.2</v>
      </c>
      <c r="AQ251" s="87">
        <v>0.25</v>
      </c>
      <c r="AR251" s="87">
        <v>0.1</v>
      </c>
      <c r="AS251" s="87">
        <v>0.05</v>
      </c>
      <c r="AT251" s="88">
        <v>0.01</v>
      </c>
      <c r="AU251" s="89">
        <f>SUMPRODUCT($AM$236:$AT$236,AM251:AT251)</f>
        <v>23.990000000000002</v>
      </c>
      <c r="AV251" s="90">
        <f>(SUMPRODUCT($AM$236:$AT$236,AM251:AT251))*$AV$236*AL251</f>
        <v>78547.600540730229</v>
      </c>
      <c r="AW251" s="90">
        <f>AV251/$AW$236</f>
        <v>1309.126675678837</v>
      </c>
      <c r="AX251" s="91">
        <f>AW251*(1+$AX$236)</f>
        <v>1570.9520108146044</v>
      </c>
    </row>
    <row r="252" spans="2:50" ht="15.75" customHeight="1" x14ac:dyDescent="0.25">
      <c r="B252" s="13" t="s">
        <v>42</v>
      </c>
      <c r="D252" s="84">
        <v>9215.3560200668908</v>
      </c>
      <c r="E252" s="87">
        <v>0.1</v>
      </c>
      <c r="F252" s="92">
        <v>0.15</v>
      </c>
      <c r="G252" s="87">
        <v>0.2</v>
      </c>
      <c r="H252" s="87">
        <v>0.22</v>
      </c>
      <c r="I252" s="87">
        <v>0.2</v>
      </c>
      <c r="J252" s="87">
        <v>0.1</v>
      </c>
      <c r="K252" s="87">
        <v>0.02</v>
      </c>
      <c r="L252" s="88">
        <v>0.01</v>
      </c>
      <c r="M252" s="89">
        <f>SUMPRODUCT($E$236:$L$236,E252:L252)</f>
        <v>20.7</v>
      </c>
      <c r="N252" s="90">
        <f>(SUMPRODUCT($E$236:$L$236,E252:L252))*$N$236*D252</f>
        <v>38151.573923076925</v>
      </c>
      <c r="O252" s="90">
        <f>N252/$O$236</f>
        <v>635.85956538461539</v>
      </c>
      <c r="P252" s="91">
        <f>O252*(1+$P$236)</f>
        <v>763.03147846153843</v>
      </c>
      <c r="S252" s="13" t="s">
        <v>42</v>
      </c>
      <c r="U252" s="84">
        <v>12400.183060602007</v>
      </c>
      <c r="V252" s="87">
        <v>0.1</v>
      </c>
      <c r="W252" s="92">
        <v>0.15</v>
      </c>
      <c r="X252" s="87">
        <v>0.2</v>
      </c>
      <c r="Y252" s="87">
        <v>0.22</v>
      </c>
      <c r="Z252" s="87">
        <v>0.2</v>
      </c>
      <c r="AA252" s="87">
        <v>0.1</v>
      </c>
      <c r="AB252" s="87">
        <v>0.02</v>
      </c>
      <c r="AC252" s="88">
        <v>0.01</v>
      </c>
      <c r="AD252" s="89">
        <f>SUMPRODUCT($V$236:$AC$236,V252:AC252)</f>
        <v>20.7</v>
      </c>
      <c r="AE252" s="90">
        <f>(SUMPRODUCT($V$236:$AC$236,V252:AC252))*$AE$236*U252</f>
        <v>51336.757870892303</v>
      </c>
      <c r="AF252" s="90">
        <f>AE252/$AF$236</f>
        <v>855.6126311815384</v>
      </c>
      <c r="AG252" s="91">
        <f>AF252*(1+$AG$236)</f>
        <v>1026.735157417846</v>
      </c>
      <c r="AJ252" s="13" t="s">
        <v>42</v>
      </c>
      <c r="AL252" s="84">
        <v>26044.621044048257</v>
      </c>
      <c r="AM252" s="87">
        <v>0.1</v>
      </c>
      <c r="AN252" s="92">
        <v>0.15</v>
      </c>
      <c r="AO252" s="87">
        <v>0.2</v>
      </c>
      <c r="AP252" s="87">
        <v>0.22</v>
      </c>
      <c r="AQ252" s="87">
        <v>0.2</v>
      </c>
      <c r="AR252" s="87">
        <v>0.1</v>
      </c>
      <c r="AS252" s="87">
        <v>0.02</v>
      </c>
      <c r="AT252" s="88">
        <v>0.01</v>
      </c>
      <c r="AU252" s="89">
        <f>SUMPRODUCT($AM$236:$AT$236,AM252:AT252)</f>
        <v>20.7</v>
      </c>
      <c r="AV252" s="90">
        <f>(SUMPRODUCT($AM$236:$AT$236,AM252:AT252))*$AV$236*AL252</f>
        <v>107824.73112235978</v>
      </c>
      <c r="AW252" s="90">
        <f>AV252/$AW$236</f>
        <v>1797.0788520393296</v>
      </c>
      <c r="AX252" s="91">
        <f>AW252*(1+$AX$236)</f>
        <v>2156.4946224471955</v>
      </c>
    </row>
    <row r="253" spans="2:50" ht="15.75" customHeight="1" x14ac:dyDescent="0.25">
      <c r="B253" s="13" t="s">
        <v>43</v>
      </c>
      <c r="D253" s="84">
        <v>104057.05685618728</v>
      </c>
      <c r="E253" s="87">
        <v>0.05</v>
      </c>
      <c r="F253" s="92">
        <v>0.05</v>
      </c>
      <c r="G253" s="87">
        <v>0.1</v>
      </c>
      <c r="H253" s="87">
        <v>0.1</v>
      </c>
      <c r="I253" s="87">
        <v>0.15</v>
      </c>
      <c r="J253" s="87">
        <v>0.2</v>
      </c>
      <c r="K253" s="87">
        <v>0.25</v>
      </c>
      <c r="L253" s="88">
        <v>0.1</v>
      </c>
      <c r="M253" s="89">
        <f>SUMPRODUCT($E$236:$L$236,E253:L253)</f>
        <v>137.27500000000001</v>
      </c>
      <c r="N253" s="90">
        <f>(SUMPRODUCT($E$236:$L$236,E253:L253))*$N$236*D253</f>
        <v>2856886.4959866218</v>
      </c>
      <c r="O253" s="90">
        <f>N253/$O$236</f>
        <v>47614.774933110362</v>
      </c>
      <c r="P253" s="91">
        <f>O253*(1+$P$236)</f>
        <v>57137.729919732432</v>
      </c>
      <c r="S253" s="13" t="s">
        <v>43</v>
      </c>
      <c r="U253" s="84">
        <v>107262.96701967972</v>
      </c>
      <c r="V253" s="87">
        <v>0.05</v>
      </c>
      <c r="W253" s="92">
        <v>0.05</v>
      </c>
      <c r="X253" s="87">
        <v>0.1</v>
      </c>
      <c r="Y253" s="87">
        <v>0.1</v>
      </c>
      <c r="Z253" s="87">
        <v>0.15</v>
      </c>
      <c r="AA253" s="87">
        <v>0.2</v>
      </c>
      <c r="AB253" s="87">
        <v>0.25</v>
      </c>
      <c r="AC253" s="88">
        <v>0.1</v>
      </c>
      <c r="AD253" s="89">
        <f>SUMPRODUCT($V$236:$AC$236,V253:AC253)</f>
        <v>137.27500000000001</v>
      </c>
      <c r="AE253" s="90">
        <f>(SUMPRODUCT($V$236:$AC$236,V253:AC253))*$AE$236*U253</f>
        <v>2944904.759525307</v>
      </c>
      <c r="AF253" s="90">
        <f>AE253/$AF$236</f>
        <v>49081.74599208845</v>
      </c>
      <c r="AG253" s="91">
        <f>AF253*(1+$AG$236)</f>
        <v>58898.095190506137</v>
      </c>
      <c r="AJ253" s="13" t="s">
        <v>43</v>
      </c>
      <c r="AL253" s="84">
        <v>114323.52749271314</v>
      </c>
      <c r="AM253" s="87">
        <v>0.05</v>
      </c>
      <c r="AN253" s="92">
        <v>0.05</v>
      </c>
      <c r="AO253" s="87">
        <v>0.1</v>
      </c>
      <c r="AP253" s="87">
        <v>0.1</v>
      </c>
      <c r="AQ253" s="87">
        <v>0.15</v>
      </c>
      <c r="AR253" s="87">
        <v>0.2</v>
      </c>
      <c r="AS253" s="87">
        <v>0.25</v>
      </c>
      <c r="AT253" s="88">
        <v>0.1</v>
      </c>
      <c r="AU253" s="89">
        <f>SUMPRODUCT($AM$236:$AT$236,AM253:AT253)</f>
        <v>137.27500000000001</v>
      </c>
      <c r="AV253" s="90">
        <f>(SUMPRODUCT($AM$236:$AT$236,AM253:AT253))*$AV$236*AL253</f>
        <v>3138752.4473124393</v>
      </c>
      <c r="AW253" s="90">
        <f>AV253/$AW$236</f>
        <v>52312.540788540653</v>
      </c>
      <c r="AX253" s="91">
        <f>AW253*(1+$AX$236)</f>
        <v>62775.048946248782</v>
      </c>
    </row>
    <row r="254" spans="2:50" ht="15.75" customHeight="1" thickBot="1" x14ac:dyDescent="0.3">
      <c r="B254" s="103" t="s">
        <v>44</v>
      </c>
      <c r="D254" s="93">
        <v>5366.5753424657541</v>
      </c>
      <c r="E254" s="94">
        <v>0.05</v>
      </c>
      <c r="F254" s="94">
        <v>0.13</v>
      </c>
      <c r="G254" s="95">
        <v>0.2</v>
      </c>
      <c r="H254" s="95">
        <v>0.25</v>
      </c>
      <c r="I254" s="95">
        <v>0.2</v>
      </c>
      <c r="J254" s="95">
        <v>0.1</v>
      </c>
      <c r="K254" s="95">
        <v>0.05</v>
      </c>
      <c r="L254" s="96">
        <v>0.02</v>
      </c>
      <c r="M254" s="97">
        <f>SUMPRODUCT($E$236:$L$236,E254:L254)</f>
        <v>33.805</v>
      </c>
      <c r="N254" s="98">
        <f>(SUMPRODUCT($E$236:$L$236,E254:L254))*$N$236*D254</f>
        <v>36283.415890410964</v>
      </c>
      <c r="O254" s="98">
        <f>N254/$O$236</f>
        <v>604.72359817351605</v>
      </c>
      <c r="P254" s="99">
        <f>O254*(1+$P$236)</f>
        <v>725.66831780821929</v>
      </c>
      <c r="S254" s="103" t="s">
        <v>44</v>
      </c>
      <c r="U254" s="93">
        <v>5860.4344383561647</v>
      </c>
      <c r="V254" s="94">
        <v>0.05</v>
      </c>
      <c r="W254" s="94">
        <v>0.13</v>
      </c>
      <c r="X254" s="95">
        <v>0.2</v>
      </c>
      <c r="Y254" s="95">
        <v>0.25</v>
      </c>
      <c r="Z254" s="95">
        <v>0.2</v>
      </c>
      <c r="AA254" s="95">
        <v>0.1</v>
      </c>
      <c r="AB254" s="95">
        <v>0.05</v>
      </c>
      <c r="AC254" s="96">
        <v>0.02</v>
      </c>
      <c r="AD254" s="97">
        <f>SUMPRODUCT($V$236:$AC$236,V254:AC254)</f>
        <v>33.805</v>
      </c>
      <c r="AE254" s="98">
        <f>(SUMPRODUCT($V$236:$AC$236,V254:AC254))*$AE$236*U254</f>
        <v>39622.397237726029</v>
      </c>
      <c r="AF254" s="98">
        <f>AE254/$AF$236</f>
        <v>660.37328729543378</v>
      </c>
      <c r="AG254" s="99">
        <f>AF254*(1+$AG$236)</f>
        <v>792.44794475452056</v>
      </c>
      <c r="AJ254" s="103" t="s">
        <v>44</v>
      </c>
      <c r="AL254" s="93">
        <v>7338.1778705778288</v>
      </c>
      <c r="AM254" s="94">
        <v>0.05</v>
      </c>
      <c r="AN254" s="94">
        <v>0.13</v>
      </c>
      <c r="AO254" s="95">
        <v>0.2</v>
      </c>
      <c r="AP254" s="95">
        <v>0.25</v>
      </c>
      <c r="AQ254" s="95">
        <v>0.2</v>
      </c>
      <c r="AR254" s="95">
        <v>0.1</v>
      </c>
      <c r="AS254" s="95">
        <v>0.05</v>
      </c>
      <c r="AT254" s="96">
        <v>0.02</v>
      </c>
      <c r="AU254" s="97">
        <f>SUMPRODUCT($AM$236:$AT$236,AM254:AT254)</f>
        <v>33.805</v>
      </c>
      <c r="AV254" s="98">
        <f>(SUMPRODUCT($AM$236:$AT$236,AM254:AT254))*$AV$236*AL254</f>
        <v>49613.420582976702</v>
      </c>
      <c r="AW254" s="98">
        <f>AV254/$AW$236</f>
        <v>826.89034304961172</v>
      </c>
      <c r="AX254" s="99">
        <f>AW254*(1+$AX$236)</f>
        <v>992.26841165953397</v>
      </c>
    </row>
    <row r="255" spans="2:50" ht="15.75" customHeight="1" x14ac:dyDescent="0.25">
      <c r="B255" s="104" t="s">
        <v>182</v>
      </c>
      <c r="D255" s="100">
        <f>SUM(D238:D254)</f>
        <v>236068.95350300087</v>
      </c>
      <c r="M255" s="8"/>
      <c r="N255" s="100">
        <f>SUM(N238:N254)</f>
        <v>3567335.8691658624</v>
      </c>
      <c r="O255" s="101">
        <f>N255/$O$236</f>
        <v>59455.597819431037</v>
      </c>
      <c r="P255" s="101">
        <f>O255*(1+$P$236)</f>
        <v>71346.717383317242</v>
      </c>
      <c r="S255" s="104" t="s">
        <v>182</v>
      </c>
      <c r="U255" s="100">
        <f>SUM(U238:U254)</f>
        <v>283537.34580516629</v>
      </c>
      <c r="AD255" s="8"/>
      <c r="AE255" s="100">
        <f>SUM(AE238:AE254)</f>
        <v>3891684.868890882</v>
      </c>
      <c r="AF255" s="101">
        <f>AE255/$AF$236</f>
        <v>64861.414481514701</v>
      </c>
      <c r="AG255" s="101">
        <f>AF255*(1+$AG$236)</f>
        <v>77833.697377817633</v>
      </c>
      <c r="AJ255" s="104" t="s">
        <v>182</v>
      </c>
      <c r="AL255" s="100">
        <f>SUM(AL238:AL254)</f>
        <v>479589.21171149705</v>
      </c>
      <c r="AU255" s="8"/>
      <c r="AV255" s="100">
        <f>SUM(AV238:AV254)</f>
        <v>5093707.0006906455</v>
      </c>
      <c r="AW255" s="101">
        <f>AV255/$AW$236</f>
        <v>84895.116678177423</v>
      </c>
      <c r="AX255" s="101">
        <f>AW255*(1+$AX$236)</f>
        <v>101874.14001381291</v>
      </c>
    </row>
    <row r="256" spans="2:50" ht="15" customHeight="1" x14ac:dyDescent="0.25">
      <c r="M256" s="8"/>
      <c r="N256" s="8">
        <f>N255/D255</f>
        <v>15.111414763485682</v>
      </c>
      <c r="O256" s="8">
        <f>N256/$O$236</f>
        <v>0.25185691272476135</v>
      </c>
      <c r="P256" s="8">
        <f>O256*(1+$P$236)</f>
        <v>0.30222829526971362</v>
      </c>
      <c r="AD256" s="8"/>
      <c r="AE256" s="8">
        <f>AE255/U255</f>
        <v>13.725475414321849</v>
      </c>
      <c r="AF256" s="8">
        <f>AE256/$AF$236</f>
        <v>0.22875792357203081</v>
      </c>
      <c r="AG256" s="8">
        <f>AF256*(1+$AG$236)</f>
        <v>0.27450950828643694</v>
      </c>
      <c r="AU256" s="8"/>
      <c r="AV256" s="8">
        <f>AV255/AL255</f>
        <v>10.620979113589463</v>
      </c>
      <c r="AW256" s="8">
        <f>AV256/$AW$236</f>
        <v>0.17701631855982439</v>
      </c>
      <c r="AX256" s="8">
        <f>AW256*(1+$AX$236)</f>
        <v>0.21241958227178925</v>
      </c>
    </row>
    <row r="260" spans="2:50" ht="15" customHeight="1" x14ac:dyDescent="0.25">
      <c r="C260">
        <v>2023</v>
      </c>
      <c r="T260">
        <v>2025</v>
      </c>
      <c r="AK260">
        <v>2030</v>
      </c>
    </row>
    <row r="261" spans="2:50" ht="19.5" customHeight="1" x14ac:dyDescent="0.25">
      <c r="C261" s="102" t="s">
        <v>19</v>
      </c>
      <c r="T261" s="102" t="s">
        <v>19</v>
      </c>
      <c r="AK261" s="102" t="s">
        <v>19</v>
      </c>
    </row>
    <row r="262" spans="2:50" ht="15" customHeight="1" thickBot="1" x14ac:dyDescent="0.3"/>
    <row r="263" spans="2:50" ht="55.35" customHeight="1" thickBot="1" x14ac:dyDescent="0.3">
      <c r="B263" s="138" t="s">
        <v>5</v>
      </c>
      <c r="C263" s="8"/>
      <c r="D263" s="140" t="s">
        <v>46</v>
      </c>
      <c r="E263" s="142" t="s">
        <v>25</v>
      </c>
      <c r="F263" s="143"/>
      <c r="G263" s="143"/>
      <c r="H263" s="143"/>
      <c r="I263" s="143"/>
      <c r="J263" s="143"/>
      <c r="K263" s="143"/>
      <c r="L263" s="144"/>
      <c r="M263" s="145" t="s">
        <v>6</v>
      </c>
      <c r="N263" s="9" t="s">
        <v>7</v>
      </c>
      <c r="O263" s="9" t="s">
        <v>8</v>
      </c>
      <c r="P263" s="9" t="s">
        <v>9</v>
      </c>
      <c r="S263" s="138" t="s">
        <v>5</v>
      </c>
      <c r="T263" s="8"/>
      <c r="U263" s="140" t="s">
        <v>46</v>
      </c>
      <c r="V263" s="142" t="s">
        <v>25</v>
      </c>
      <c r="W263" s="143"/>
      <c r="X263" s="143"/>
      <c r="Y263" s="143"/>
      <c r="Z263" s="143"/>
      <c r="AA263" s="143"/>
      <c r="AB263" s="143"/>
      <c r="AC263" s="144"/>
      <c r="AD263" s="145" t="s">
        <v>6</v>
      </c>
      <c r="AE263" s="9" t="s">
        <v>7</v>
      </c>
      <c r="AF263" s="9" t="s">
        <v>8</v>
      </c>
      <c r="AG263" s="9" t="s">
        <v>9</v>
      </c>
      <c r="AJ263" s="138" t="s">
        <v>5</v>
      </c>
      <c r="AK263" s="8"/>
      <c r="AL263" s="140" t="s">
        <v>46</v>
      </c>
      <c r="AM263" s="142" t="s">
        <v>25</v>
      </c>
      <c r="AN263" s="143"/>
      <c r="AO263" s="143"/>
      <c r="AP263" s="143"/>
      <c r="AQ263" s="143"/>
      <c r="AR263" s="143"/>
      <c r="AS263" s="143"/>
      <c r="AT263" s="144"/>
      <c r="AU263" s="145" t="s">
        <v>6</v>
      </c>
      <c r="AV263" s="9" t="s">
        <v>7</v>
      </c>
      <c r="AW263" s="9" t="s">
        <v>8</v>
      </c>
      <c r="AX263" s="9" t="s">
        <v>9</v>
      </c>
    </row>
    <row r="264" spans="2:50" ht="16.5" customHeight="1" thickBot="1" x14ac:dyDescent="0.3">
      <c r="B264" s="139"/>
      <c r="C264" s="8"/>
      <c r="D264" s="141"/>
      <c r="E264" s="10">
        <v>0.5</v>
      </c>
      <c r="F264" s="10">
        <v>1</v>
      </c>
      <c r="G264" s="10">
        <v>2</v>
      </c>
      <c r="H264" s="10">
        <v>5</v>
      </c>
      <c r="I264" s="10">
        <v>10</v>
      </c>
      <c r="J264" s="10">
        <v>50</v>
      </c>
      <c r="K264" s="10">
        <v>100</v>
      </c>
      <c r="L264" s="10">
        <v>1000</v>
      </c>
      <c r="M264" s="146"/>
      <c r="N264" s="59">
        <f>'Network Parameters'!$C$8</f>
        <v>0.2</v>
      </c>
      <c r="O264" s="60">
        <f>'Network Parameters'!$C$9</f>
        <v>60</v>
      </c>
      <c r="P264" s="61">
        <f>'Network Parameters'!$C$10</f>
        <v>0.2</v>
      </c>
      <c r="S264" s="139"/>
      <c r="T264" s="8"/>
      <c r="U264" s="141"/>
      <c r="V264" s="10">
        <v>0.5</v>
      </c>
      <c r="W264" s="10">
        <v>1</v>
      </c>
      <c r="X264" s="10">
        <v>2</v>
      </c>
      <c r="Y264" s="10">
        <v>5</v>
      </c>
      <c r="Z264" s="10">
        <v>10</v>
      </c>
      <c r="AA264" s="10">
        <v>50</v>
      </c>
      <c r="AB264" s="10">
        <v>100</v>
      </c>
      <c r="AC264" s="10">
        <v>1000</v>
      </c>
      <c r="AD264" s="146"/>
      <c r="AE264" s="59">
        <f>'Network Parameters'!$C$8</f>
        <v>0.2</v>
      </c>
      <c r="AF264" s="60">
        <f>'Network Parameters'!$C$9</f>
        <v>60</v>
      </c>
      <c r="AG264" s="61">
        <f>'Network Parameters'!$C$10</f>
        <v>0.2</v>
      </c>
      <c r="AJ264" s="139"/>
      <c r="AK264" s="8"/>
      <c r="AL264" s="141"/>
      <c r="AM264" s="10">
        <v>0.5</v>
      </c>
      <c r="AN264" s="10">
        <v>1</v>
      </c>
      <c r="AO264" s="10">
        <v>2</v>
      </c>
      <c r="AP264" s="10">
        <v>5</v>
      </c>
      <c r="AQ264" s="10">
        <v>10</v>
      </c>
      <c r="AR264" s="10">
        <v>50</v>
      </c>
      <c r="AS264" s="10">
        <v>100</v>
      </c>
      <c r="AT264" s="10">
        <v>1000</v>
      </c>
      <c r="AU264" s="146"/>
      <c r="AV264" s="59">
        <f>'Network Parameters'!$C$8</f>
        <v>0.2</v>
      </c>
      <c r="AW264" s="60">
        <f>'Network Parameters'!$C$9</f>
        <v>60</v>
      </c>
      <c r="AX264" s="61">
        <f>'Network Parameters'!$C$10</f>
        <v>0.2</v>
      </c>
    </row>
    <row r="265" spans="2:50" ht="15" customHeight="1" thickBot="1" x14ac:dyDescent="0.3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</row>
    <row r="266" spans="2:50" ht="41.25" customHeight="1" x14ac:dyDescent="0.25">
      <c r="B266" s="13" t="s">
        <v>32</v>
      </c>
      <c r="D266" s="77">
        <v>21685.227700334446</v>
      </c>
      <c r="E266" s="78">
        <v>0.3</v>
      </c>
      <c r="F266" s="78">
        <v>0.3</v>
      </c>
      <c r="G266" s="78">
        <v>0.25</v>
      </c>
      <c r="H266" s="79">
        <v>0.05</v>
      </c>
      <c r="I266" s="78">
        <v>0.05</v>
      </c>
      <c r="J266" s="78">
        <v>0.02</v>
      </c>
      <c r="K266" s="78">
        <v>0.02</v>
      </c>
      <c r="L266" s="80">
        <v>0.01</v>
      </c>
      <c r="M266" s="81">
        <f>SUMPRODUCT($E$264:$L$264,E266:L266)</f>
        <v>14.7</v>
      </c>
      <c r="N266" s="82">
        <f>(SUMPRODUCT($E$264:$L$264,E266:L266))*$N$264*D266</f>
        <v>63754.569438983272</v>
      </c>
      <c r="O266" s="82">
        <f>N266/$O$264</f>
        <v>1062.5761573163879</v>
      </c>
      <c r="P266" s="83">
        <f>O266*(1+$P$264)</f>
        <v>1275.0913887796655</v>
      </c>
      <c r="S266" s="13" t="s">
        <v>32</v>
      </c>
      <c r="U266" s="77">
        <v>29179.64239357003</v>
      </c>
      <c r="V266" s="78">
        <v>0.3</v>
      </c>
      <c r="W266" s="78">
        <v>0.3</v>
      </c>
      <c r="X266" s="78">
        <v>0.25</v>
      </c>
      <c r="Y266" s="79">
        <v>0.05</v>
      </c>
      <c r="Z266" s="78">
        <v>0.05</v>
      </c>
      <c r="AA266" s="78">
        <v>0.02</v>
      </c>
      <c r="AB266" s="78">
        <v>0.02</v>
      </c>
      <c r="AC266" s="80"/>
      <c r="AD266" s="81">
        <f>SUMPRODUCT($V$264:$AC$264,V266:AC266)</f>
        <v>4.7</v>
      </c>
      <c r="AE266" s="82">
        <f>(SUMPRODUCT($V$264:$AC$264,V266:AC266))*$AE$264*U266</f>
        <v>27428.863849955829</v>
      </c>
      <c r="AF266" s="82">
        <f>AE266/$AF$264</f>
        <v>457.14773083259718</v>
      </c>
      <c r="AG266" s="83">
        <f>AF266*(1+$AG$264)</f>
        <v>548.57727699911663</v>
      </c>
      <c r="AJ266" s="13" t="s">
        <v>32</v>
      </c>
      <c r="AL266" s="77">
        <v>61287.21847308609</v>
      </c>
      <c r="AM266" s="78">
        <v>0.3</v>
      </c>
      <c r="AN266" s="78">
        <v>0.3</v>
      </c>
      <c r="AO266" s="78">
        <v>0.25</v>
      </c>
      <c r="AP266" s="79">
        <v>0.05</v>
      </c>
      <c r="AQ266" s="78">
        <v>0.05</v>
      </c>
      <c r="AR266" s="78">
        <v>0.02</v>
      </c>
      <c r="AS266" s="78">
        <v>0.02</v>
      </c>
      <c r="AT266" s="80">
        <v>0.01</v>
      </c>
      <c r="AU266" s="81">
        <f>SUMPRODUCT($AM$264:$AT$264,AM266:AT266)</f>
        <v>14.7</v>
      </c>
      <c r="AV266" s="82">
        <f>(SUMPRODUCT($AM$264:$AT$264,AM266:AT266))*$AV$264*AL266</f>
        <v>180184.42231087311</v>
      </c>
      <c r="AW266" s="82">
        <f>AV266/$AW$264</f>
        <v>3003.0737051812184</v>
      </c>
      <c r="AX266" s="83">
        <f>AW266*(1+$AX$264)</f>
        <v>3603.6884462174621</v>
      </c>
    </row>
    <row r="267" spans="2:50" ht="15.75" customHeight="1" x14ac:dyDescent="0.25">
      <c r="B267" s="13" t="s">
        <v>33</v>
      </c>
      <c r="D267" s="84">
        <v>1125.5308494983276</v>
      </c>
      <c r="E267" s="85">
        <v>0.3</v>
      </c>
      <c r="F267" s="85">
        <v>0.3</v>
      </c>
      <c r="G267" s="86">
        <v>0.2</v>
      </c>
      <c r="H267" s="87">
        <v>0.05</v>
      </c>
      <c r="I267" s="87">
        <v>0.1</v>
      </c>
      <c r="J267" s="87">
        <v>0.02</v>
      </c>
      <c r="K267" s="87">
        <v>0.02</v>
      </c>
      <c r="L267" s="88">
        <v>0.01</v>
      </c>
      <c r="M267" s="89">
        <f>SUMPRODUCT($E$264:$L$264,E267:L267)</f>
        <v>15.1</v>
      </c>
      <c r="N267" s="90">
        <f>(SUMPRODUCT($E$264:$L$264,E267:L267))*$N$264*D267</f>
        <v>3399.1031654849494</v>
      </c>
      <c r="O267" s="90">
        <f>N267/$O$264</f>
        <v>56.651719424749153</v>
      </c>
      <c r="P267" s="91">
        <f>O267*(1+$P$264)</f>
        <v>67.982063309698987</v>
      </c>
      <c r="S267" s="13" t="s">
        <v>33</v>
      </c>
      <c r="U267" s="84">
        <v>1514.5143110849494</v>
      </c>
      <c r="V267" s="85">
        <v>0.3</v>
      </c>
      <c r="W267" s="85">
        <v>0.3</v>
      </c>
      <c r="X267" s="86">
        <v>0.2</v>
      </c>
      <c r="Y267" s="87">
        <v>0.05</v>
      </c>
      <c r="Z267" s="87">
        <v>0.1</v>
      </c>
      <c r="AA267" s="87">
        <v>0.02</v>
      </c>
      <c r="AB267" s="87">
        <v>0.02</v>
      </c>
      <c r="AC267" s="88"/>
      <c r="AD267" s="89">
        <f>SUMPRODUCT($V$264:$AC$264,V267:AC267)</f>
        <v>5.0999999999999996</v>
      </c>
      <c r="AE267" s="90">
        <f>(SUMPRODUCT($V$264:$AC$264,V267:AC267))*$AE$264*U267</f>
        <v>1544.8045973066485</v>
      </c>
      <c r="AF267" s="90">
        <f>AE267/$AF$264</f>
        <v>25.74674328844414</v>
      </c>
      <c r="AG267" s="91">
        <f>AF267*(1+$AG$264)</f>
        <v>30.896091946132966</v>
      </c>
      <c r="AJ267" s="13" t="s">
        <v>33</v>
      </c>
      <c r="AL267" s="84">
        <v>3180.9974986030843</v>
      </c>
      <c r="AM267" s="85">
        <v>0.3</v>
      </c>
      <c r="AN267" s="85">
        <v>0.3</v>
      </c>
      <c r="AO267" s="86">
        <v>0.2</v>
      </c>
      <c r="AP267" s="87">
        <v>0.05</v>
      </c>
      <c r="AQ267" s="87">
        <v>0.1</v>
      </c>
      <c r="AR267" s="87">
        <v>0.02</v>
      </c>
      <c r="AS267" s="87">
        <v>0.02</v>
      </c>
      <c r="AT267" s="88">
        <v>0.01</v>
      </c>
      <c r="AU267" s="89">
        <f>SUMPRODUCT($AM$264:$AT$264,AM267:AT267)</f>
        <v>15.1</v>
      </c>
      <c r="AV267" s="90">
        <f>(SUMPRODUCT($AM$264:$AT$264,AM267:AT267))*$AV$264*AL267</f>
        <v>9606.6124457813148</v>
      </c>
      <c r="AW267" s="90">
        <f>AV267/$AW$264</f>
        <v>160.11020742968859</v>
      </c>
      <c r="AX267" s="91">
        <f>AW267*(1+$AX$264)</f>
        <v>192.13224891562629</v>
      </c>
    </row>
    <row r="268" spans="2:50" ht="15.75" customHeight="1" x14ac:dyDescent="0.25">
      <c r="B268" s="13" t="s">
        <v>1</v>
      </c>
      <c r="D268" s="84">
        <v>5252.4772976588629</v>
      </c>
      <c r="E268" s="87">
        <v>0.05</v>
      </c>
      <c r="F268" s="92">
        <v>0.15</v>
      </c>
      <c r="G268" s="87">
        <v>0.15</v>
      </c>
      <c r="H268" s="87">
        <v>0.25</v>
      </c>
      <c r="I268" s="87">
        <v>0.22</v>
      </c>
      <c r="J268" s="87">
        <v>0.1</v>
      </c>
      <c r="K268" s="87">
        <v>0.05</v>
      </c>
      <c r="L268" s="88">
        <v>0.03</v>
      </c>
      <c r="M268" s="89">
        <f>SUMPRODUCT($E$264:$L$264,E268:L268)</f>
        <v>43.924999999999997</v>
      </c>
      <c r="N268" s="90">
        <f>(SUMPRODUCT($E$264:$L$264,E268:L268))*$N$264*D268</f>
        <v>46143.01305993311</v>
      </c>
      <c r="O268" s="90">
        <f>N268/$O$264</f>
        <v>769.05021766555183</v>
      </c>
      <c r="P268" s="91">
        <f>O268*(1+$P$264)</f>
        <v>922.8602611986621</v>
      </c>
      <c r="S268" s="13" t="s">
        <v>1</v>
      </c>
      <c r="U268" s="84">
        <v>7067.733451729765</v>
      </c>
      <c r="V268" s="87">
        <v>0.05</v>
      </c>
      <c r="W268" s="92">
        <v>0.15</v>
      </c>
      <c r="X268" s="87">
        <v>0.15</v>
      </c>
      <c r="Y268" s="87">
        <v>0.25</v>
      </c>
      <c r="Z268" s="87">
        <v>0.22</v>
      </c>
      <c r="AA268" s="87">
        <v>0.1</v>
      </c>
      <c r="AB268" s="87">
        <v>0.05</v>
      </c>
      <c r="AC268" s="88"/>
      <c r="AD268" s="89">
        <f>SUMPRODUCT($V$264:$AC$264,V268:AC268)</f>
        <v>13.925000000000001</v>
      </c>
      <c r="AE268" s="90">
        <f>(SUMPRODUCT($V$264:$AC$264,V268:AC268))*$AE$264*U268</f>
        <v>19683.637663067395</v>
      </c>
      <c r="AF268" s="90">
        <f>AE268/$AF$264</f>
        <v>328.06062771778994</v>
      </c>
      <c r="AG268" s="91">
        <f>AF268*(1+$AG$264)</f>
        <v>393.67275326134791</v>
      </c>
      <c r="AJ268" s="13" t="s">
        <v>1</v>
      </c>
      <c r="AL268" s="84">
        <v>14844.654993481061</v>
      </c>
      <c r="AM268" s="87">
        <v>0.05</v>
      </c>
      <c r="AN268" s="92">
        <v>0.15</v>
      </c>
      <c r="AO268" s="87">
        <v>0.15</v>
      </c>
      <c r="AP268" s="87">
        <v>0.25</v>
      </c>
      <c r="AQ268" s="87">
        <v>0.22</v>
      </c>
      <c r="AR268" s="87">
        <v>0.1</v>
      </c>
      <c r="AS268" s="87">
        <v>0.05</v>
      </c>
      <c r="AT268" s="88">
        <v>0.03</v>
      </c>
      <c r="AU268" s="89">
        <f>SUMPRODUCT($AM$264:$AT$264,AM268:AT268)</f>
        <v>43.924999999999997</v>
      </c>
      <c r="AV268" s="90">
        <f>(SUMPRODUCT($AM$264:$AT$264,AM268:AT268))*$AV$264*AL268</f>
        <v>130410.29411773113</v>
      </c>
      <c r="AW268" s="90">
        <f>AV268/$AW$264</f>
        <v>2173.5049019621856</v>
      </c>
      <c r="AX268" s="91">
        <f>AW268*(1+$AX$264)</f>
        <v>2608.2058823546226</v>
      </c>
    </row>
    <row r="269" spans="2:50" ht="15.75" customHeight="1" x14ac:dyDescent="0.25">
      <c r="B269" s="13" t="s">
        <v>0</v>
      </c>
      <c r="D269" s="84">
        <v>4727.2295678929759</v>
      </c>
      <c r="E269" s="87">
        <v>0.2</v>
      </c>
      <c r="F269" s="92">
        <v>0.25</v>
      </c>
      <c r="G269" s="87">
        <v>0.3</v>
      </c>
      <c r="H269" s="87">
        <v>0.15</v>
      </c>
      <c r="I269" s="87">
        <v>0.05</v>
      </c>
      <c r="J269" s="87">
        <v>0.02</v>
      </c>
      <c r="K269" s="87">
        <v>0.02</v>
      </c>
      <c r="L269" s="88">
        <v>0.01</v>
      </c>
      <c r="M269" s="89">
        <f>SUMPRODUCT($E$264:$L$264,E269:L269)</f>
        <v>15.2</v>
      </c>
      <c r="N269" s="90">
        <f>(SUMPRODUCT($E$264:$L$264,E269:L269))*$N$264*D269</f>
        <v>14370.777886394646</v>
      </c>
      <c r="O269" s="90">
        <f>N269/$O$264</f>
        <v>239.51296477324411</v>
      </c>
      <c r="P269" s="91">
        <f>O269*(1+$P$264)</f>
        <v>287.41555772789292</v>
      </c>
      <c r="S269" s="13" t="s">
        <v>0</v>
      </c>
      <c r="U269" s="84">
        <v>6360.9601065567877</v>
      </c>
      <c r="V269" s="87">
        <v>0.2</v>
      </c>
      <c r="W269" s="92">
        <v>0.25</v>
      </c>
      <c r="X269" s="87">
        <v>0.3</v>
      </c>
      <c r="Y269" s="87">
        <v>0.15</v>
      </c>
      <c r="Z269" s="87">
        <v>0.05</v>
      </c>
      <c r="AA269" s="87">
        <v>0.02</v>
      </c>
      <c r="AB269" s="87">
        <v>0.02</v>
      </c>
      <c r="AC269" s="88"/>
      <c r="AD269" s="89">
        <f>SUMPRODUCT($V$264:$AC$264,V269:AC269)</f>
        <v>5.2</v>
      </c>
      <c r="AE269" s="90">
        <f>(SUMPRODUCT($V$264:$AC$264,V269:AC269))*$AE$264*U269</f>
        <v>6615.3985108190591</v>
      </c>
      <c r="AF269" s="90">
        <f>AE269/$AF$264</f>
        <v>110.25664184698432</v>
      </c>
      <c r="AG269" s="91">
        <f>AF269*(1+$AG$264)</f>
        <v>132.30797021638119</v>
      </c>
      <c r="AJ269" s="13" t="s">
        <v>0</v>
      </c>
      <c r="AL269" s="84">
        <v>13360.189494132954</v>
      </c>
      <c r="AM269" s="87">
        <v>0.2</v>
      </c>
      <c r="AN269" s="92">
        <v>0.25</v>
      </c>
      <c r="AO269" s="87">
        <v>0.3</v>
      </c>
      <c r="AP269" s="87">
        <v>0.15</v>
      </c>
      <c r="AQ269" s="87">
        <v>0.05</v>
      </c>
      <c r="AR269" s="87">
        <v>0.02</v>
      </c>
      <c r="AS269" s="87">
        <v>0.02</v>
      </c>
      <c r="AT269" s="88">
        <v>0.01</v>
      </c>
      <c r="AU269" s="89">
        <f>SUMPRODUCT($AM$264:$AT$264,AM269:AT269)</f>
        <v>15.2</v>
      </c>
      <c r="AV269" s="90">
        <f>(SUMPRODUCT($AM$264:$AT$264,AM269:AT269))*$AV$264*AL269</f>
        <v>40614.976062164184</v>
      </c>
      <c r="AW269" s="90">
        <f>AV269/$AW$264</f>
        <v>676.91626770273638</v>
      </c>
      <c r="AX269" s="91">
        <f>AW269*(1+$AX$264)</f>
        <v>812.29952124328361</v>
      </c>
    </row>
    <row r="270" spans="2:50" ht="15.75" customHeight="1" x14ac:dyDescent="0.25">
      <c r="B270" s="13" t="s">
        <v>34</v>
      </c>
      <c r="D270" s="84">
        <v>6378.0081471571893</v>
      </c>
      <c r="E270" s="87">
        <v>0.05</v>
      </c>
      <c r="F270" s="92">
        <v>0.15</v>
      </c>
      <c r="G270" s="87">
        <v>0.2</v>
      </c>
      <c r="H270" s="87">
        <v>0.24</v>
      </c>
      <c r="I270" s="87">
        <v>0.15</v>
      </c>
      <c r="J270" s="87">
        <v>0.15</v>
      </c>
      <c r="K270" s="87">
        <v>0.05</v>
      </c>
      <c r="L270" s="88">
        <v>0.01</v>
      </c>
      <c r="M270" s="89">
        <f>SUMPRODUCT($E$264:$L$264,E270:L270)</f>
        <v>25.774999999999999</v>
      </c>
      <c r="N270" s="90">
        <f>(SUMPRODUCT($E$264:$L$264,E270:L270))*$N$264*D270</f>
        <v>32878.631998595316</v>
      </c>
      <c r="O270" s="90">
        <f>N270/$O$264</f>
        <v>547.97719997658862</v>
      </c>
      <c r="P270" s="91">
        <f>O270*(1+$P$264)</f>
        <v>657.57263997190637</v>
      </c>
      <c r="S270" s="13" t="s">
        <v>34</v>
      </c>
      <c r="U270" s="84">
        <v>8582.2477628147135</v>
      </c>
      <c r="V270" s="87">
        <v>0.05</v>
      </c>
      <c r="W270" s="92">
        <v>0.15</v>
      </c>
      <c r="X270" s="87">
        <v>0.2</v>
      </c>
      <c r="Y270" s="87">
        <v>0.24</v>
      </c>
      <c r="Z270" s="87">
        <v>0.15</v>
      </c>
      <c r="AA270" s="87">
        <v>0.15</v>
      </c>
      <c r="AB270" s="87">
        <v>0.05</v>
      </c>
      <c r="AC270" s="88"/>
      <c r="AD270" s="89">
        <f>SUMPRODUCT($V$264:$AC$264,V270:AC270)</f>
        <v>15.775</v>
      </c>
      <c r="AE270" s="90">
        <f>(SUMPRODUCT($V$264:$AC$264,V270:AC270))*$AE$264*U270</f>
        <v>27076.991691680425</v>
      </c>
      <c r="AF270" s="90">
        <f>AE270/$AF$264</f>
        <v>451.28319486134041</v>
      </c>
      <c r="AG270" s="91">
        <f>AF270*(1+$AG$264)</f>
        <v>541.53983383360844</v>
      </c>
      <c r="AJ270" s="13" t="s">
        <v>34</v>
      </c>
      <c r="AL270" s="84">
        <v>18025.652492084144</v>
      </c>
      <c r="AM270" s="87">
        <v>0.05</v>
      </c>
      <c r="AN270" s="92">
        <v>0.15</v>
      </c>
      <c r="AO270" s="87">
        <v>0.2</v>
      </c>
      <c r="AP270" s="87">
        <v>0.24</v>
      </c>
      <c r="AQ270" s="87">
        <v>0.15</v>
      </c>
      <c r="AR270" s="87">
        <v>0.15</v>
      </c>
      <c r="AS270" s="87">
        <v>0.05</v>
      </c>
      <c r="AT270" s="88">
        <v>0.01</v>
      </c>
      <c r="AU270" s="89">
        <f>SUMPRODUCT($AM$264:$AT$264,AM270:AT270)</f>
        <v>25.774999999999999</v>
      </c>
      <c r="AV270" s="90">
        <f>(SUMPRODUCT($AM$264:$AT$264,AM270:AT270))*$AV$264*AL270</f>
        <v>92922.238596693773</v>
      </c>
      <c r="AW270" s="90">
        <f>AV270/$AW$264</f>
        <v>1548.7039766115629</v>
      </c>
      <c r="AX270" s="91">
        <f>AW270*(1+$AX$264)</f>
        <v>1858.4447719338755</v>
      </c>
    </row>
    <row r="271" spans="2:50" ht="15.75" customHeight="1" x14ac:dyDescent="0.25">
      <c r="B271" s="13" t="s">
        <v>35</v>
      </c>
      <c r="D271" s="84">
        <v>2100.9909190635444</v>
      </c>
      <c r="E271" s="87">
        <v>0.12</v>
      </c>
      <c r="F271" s="92">
        <v>0.1</v>
      </c>
      <c r="G271" s="87">
        <v>0.1</v>
      </c>
      <c r="H271" s="87">
        <v>0.2</v>
      </c>
      <c r="I271" s="87">
        <v>0.3</v>
      </c>
      <c r="J271" s="87">
        <v>0.1</v>
      </c>
      <c r="K271" s="87">
        <v>0.05</v>
      </c>
      <c r="L271" s="88">
        <v>0.03</v>
      </c>
      <c r="M271" s="89">
        <f>SUMPRODUCT($E$264:$L$264,E271:L271)</f>
        <v>44.36</v>
      </c>
      <c r="N271" s="90">
        <f>(SUMPRODUCT($E$264:$L$264,E271:L271))*$N$264*D271</f>
        <v>18639.991433931766</v>
      </c>
      <c r="O271" s="90">
        <f>N271/$O$264</f>
        <v>310.66652389886275</v>
      </c>
      <c r="P271" s="91">
        <f>O271*(1+$P$264)</f>
        <v>372.79982867863527</v>
      </c>
      <c r="S271" s="13" t="s">
        <v>35</v>
      </c>
      <c r="U271" s="84">
        <v>2827.0933806919052</v>
      </c>
      <c r="V271" s="87">
        <v>0.12</v>
      </c>
      <c r="W271" s="92">
        <v>0.1</v>
      </c>
      <c r="X271" s="87">
        <v>0.1</v>
      </c>
      <c r="Y271" s="87">
        <v>0.2</v>
      </c>
      <c r="Z271" s="87">
        <v>0.3</v>
      </c>
      <c r="AA271" s="87">
        <v>0.1</v>
      </c>
      <c r="AB271" s="87">
        <v>0.05</v>
      </c>
      <c r="AC271" s="88"/>
      <c r="AD271" s="89">
        <f>SUMPRODUCT($V$264:$AC$264,V271:AC271)</f>
        <v>14.36</v>
      </c>
      <c r="AE271" s="90">
        <f>(SUMPRODUCT($V$264:$AC$264,V271:AC271))*$AE$264*U271</f>
        <v>8119.4121893471511</v>
      </c>
      <c r="AF271" s="90">
        <f>AE271/$AF$264</f>
        <v>135.32353648911919</v>
      </c>
      <c r="AG271" s="91">
        <f>AF271*(1+$AG$264)</f>
        <v>162.38824378694304</v>
      </c>
      <c r="AJ271" s="13" t="s">
        <v>35</v>
      </c>
      <c r="AL271" s="84">
        <v>5937.8619973924224</v>
      </c>
      <c r="AM271" s="87">
        <v>0.12</v>
      </c>
      <c r="AN271" s="92">
        <v>0.1</v>
      </c>
      <c r="AO271" s="87">
        <v>0.1</v>
      </c>
      <c r="AP271" s="87">
        <v>0.2</v>
      </c>
      <c r="AQ271" s="87">
        <v>0.3</v>
      </c>
      <c r="AR271" s="87">
        <v>0.1</v>
      </c>
      <c r="AS271" s="87">
        <v>0.05</v>
      </c>
      <c r="AT271" s="88">
        <v>0.03</v>
      </c>
      <c r="AU271" s="89">
        <f>SUMPRODUCT($AM$264:$AT$264,AM271:AT271)</f>
        <v>44.36</v>
      </c>
      <c r="AV271" s="90">
        <f>(SUMPRODUCT($AM$264:$AT$264,AM271:AT271))*$AV$264*AL271</f>
        <v>52680.711640865571</v>
      </c>
      <c r="AW271" s="90">
        <f>AV271/$AW$264</f>
        <v>878.0118606810928</v>
      </c>
      <c r="AX271" s="91">
        <f>AW271*(1+$AX$264)</f>
        <v>1053.6142328173114</v>
      </c>
    </row>
    <row r="272" spans="2:50" ht="31.5" customHeight="1" x14ac:dyDescent="0.25">
      <c r="B272" s="13" t="s">
        <v>36</v>
      </c>
      <c r="D272" s="84">
        <v>1275.6016294314381</v>
      </c>
      <c r="E272" s="87">
        <v>0.05</v>
      </c>
      <c r="F272" s="92">
        <v>0.2</v>
      </c>
      <c r="G272" s="87">
        <v>0.3</v>
      </c>
      <c r="H272" s="87">
        <v>0.15</v>
      </c>
      <c r="I272" s="87">
        <v>0.14000000000000001</v>
      </c>
      <c r="J272" s="87">
        <v>0.1</v>
      </c>
      <c r="K272" s="87">
        <v>0.05</v>
      </c>
      <c r="L272" s="88">
        <v>0.01</v>
      </c>
      <c r="M272" s="89">
        <f>SUMPRODUCT($E$264:$L$264,E272:L272)</f>
        <v>22.975000000000001</v>
      </c>
      <c r="N272" s="90">
        <f>(SUMPRODUCT($E$264:$L$264,E272:L272))*$N$264*D272</f>
        <v>5861.3894872374594</v>
      </c>
      <c r="O272" s="90">
        <f>N272/$O$264</f>
        <v>97.689824787290988</v>
      </c>
      <c r="P272" s="91">
        <f>O272*(1+$P$264)</f>
        <v>117.22778974474917</v>
      </c>
      <c r="S272" s="13" t="s">
        <v>36</v>
      </c>
      <c r="U272" s="84">
        <v>1716.4495525629432</v>
      </c>
      <c r="V272" s="87">
        <v>0.05</v>
      </c>
      <c r="W272" s="92">
        <v>0.2</v>
      </c>
      <c r="X272" s="87">
        <v>0.3</v>
      </c>
      <c r="Y272" s="87">
        <v>0.15</v>
      </c>
      <c r="Z272" s="87">
        <v>0.14000000000000001</v>
      </c>
      <c r="AA272" s="87">
        <v>0.1</v>
      </c>
      <c r="AB272" s="87">
        <v>0.05</v>
      </c>
      <c r="AC272" s="88"/>
      <c r="AD272" s="89">
        <f>SUMPRODUCT($V$264:$AC$264,V272:AC272)</f>
        <v>12.975</v>
      </c>
      <c r="AE272" s="90">
        <f>(SUMPRODUCT($V$264:$AC$264,V272:AC272))*$AE$264*U272</f>
        <v>4454.1865889008377</v>
      </c>
      <c r="AF272" s="90">
        <f>AE272/$AF$264</f>
        <v>74.236443148347291</v>
      </c>
      <c r="AG272" s="91">
        <f>AF272*(1+$AG$264)</f>
        <v>89.083731778016741</v>
      </c>
      <c r="AJ272" s="13" t="s">
        <v>36</v>
      </c>
      <c r="AL272" s="84">
        <v>3605.1304984168291</v>
      </c>
      <c r="AM272" s="87">
        <v>0.05</v>
      </c>
      <c r="AN272" s="92">
        <v>0.2</v>
      </c>
      <c r="AO272" s="87">
        <v>0.3</v>
      </c>
      <c r="AP272" s="87">
        <v>0.15</v>
      </c>
      <c r="AQ272" s="87">
        <v>0.14000000000000001</v>
      </c>
      <c r="AR272" s="87">
        <v>0.1</v>
      </c>
      <c r="AS272" s="87">
        <v>0.05</v>
      </c>
      <c r="AT272" s="88">
        <v>0.01</v>
      </c>
      <c r="AU272" s="89">
        <f>SUMPRODUCT($AM$264:$AT$264,AM272:AT272)</f>
        <v>22.975000000000001</v>
      </c>
      <c r="AV272" s="90">
        <f>(SUMPRODUCT($AM$264:$AT$264,AM272:AT272))*$AV$264*AL272</f>
        <v>16565.574640225332</v>
      </c>
      <c r="AW272" s="90">
        <f>AV272/$AW$264</f>
        <v>276.09291067042221</v>
      </c>
      <c r="AX272" s="91">
        <f>AW272*(1+$AX$264)</f>
        <v>331.31149280450666</v>
      </c>
    </row>
    <row r="273" spans="2:50" ht="15.75" customHeight="1" x14ac:dyDescent="0.25">
      <c r="B273" s="13" t="s">
        <v>37</v>
      </c>
      <c r="D273" s="84">
        <v>3001.4155986622068</v>
      </c>
      <c r="E273" s="87">
        <v>0.05</v>
      </c>
      <c r="F273" s="92">
        <v>0.1</v>
      </c>
      <c r="G273" s="87">
        <v>0.1</v>
      </c>
      <c r="H273" s="87">
        <v>0.15</v>
      </c>
      <c r="I273" s="87">
        <v>0.25</v>
      </c>
      <c r="J273" s="87">
        <v>0.16</v>
      </c>
      <c r="K273" s="87">
        <v>0.15</v>
      </c>
      <c r="L273" s="88">
        <v>0.04</v>
      </c>
      <c r="M273" s="89">
        <f>SUMPRODUCT($E$264:$L$264,E273:L273)</f>
        <v>66.575000000000003</v>
      </c>
      <c r="N273" s="90">
        <f>(SUMPRODUCT($E$264:$L$264,E273:L273))*$N$264*D273</f>
        <v>39963.848696187284</v>
      </c>
      <c r="O273" s="90">
        <f>N273/$O$264</f>
        <v>666.06414493645468</v>
      </c>
      <c r="P273" s="91">
        <f>O273*(1+$P$264)</f>
        <v>799.27697392374557</v>
      </c>
      <c r="S273" s="13" t="s">
        <v>37</v>
      </c>
      <c r="U273" s="84">
        <v>4038.7048295598652</v>
      </c>
      <c r="V273" s="87">
        <v>0.05</v>
      </c>
      <c r="W273" s="92">
        <v>0.1</v>
      </c>
      <c r="X273" s="87">
        <v>0.1</v>
      </c>
      <c r="Y273" s="87">
        <v>0.15</v>
      </c>
      <c r="Z273" s="87">
        <v>0.25</v>
      </c>
      <c r="AA273" s="87">
        <v>0.16</v>
      </c>
      <c r="AB273" s="87">
        <v>0.15</v>
      </c>
      <c r="AC273" s="88"/>
      <c r="AD273" s="89">
        <f>SUMPRODUCT($V$264:$AC$264,V273:AC273)</f>
        <v>26.574999999999999</v>
      </c>
      <c r="AE273" s="90">
        <f>(SUMPRODUCT($V$264:$AC$264,V273:AC273))*$AE$264*U273</f>
        <v>21465.716169110685</v>
      </c>
      <c r="AF273" s="90">
        <f>AE273/$AF$264</f>
        <v>357.76193615184474</v>
      </c>
      <c r="AG273" s="91">
        <f>AF273*(1+$AG$264)</f>
        <v>429.31432338221367</v>
      </c>
      <c r="AJ273" s="13" t="s">
        <v>37</v>
      </c>
      <c r="AL273" s="84">
        <v>8482.6599962748915</v>
      </c>
      <c r="AM273" s="87">
        <v>0.05</v>
      </c>
      <c r="AN273" s="92">
        <v>0.1</v>
      </c>
      <c r="AO273" s="87">
        <v>0.1</v>
      </c>
      <c r="AP273" s="87">
        <v>0.15</v>
      </c>
      <c r="AQ273" s="87">
        <v>0.25</v>
      </c>
      <c r="AR273" s="87">
        <v>0.16</v>
      </c>
      <c r="AS273" s="87">
        <v>0.15</v>
      </c>
      <c r="AT273" s="88">
        <v>0.04</v>
      </c>
      <c r="AU273" s="89">
        <f>SUMPRODUCT($AM$264:$AT$264,AM273:AT273)</f>
        <v>66.575000000000003</v>
      </c>
      <c r="AV273" s="90">
        <f>(SUMPRODUCT($AM$264:$AT$264,AM273:AT273))*$AV$264*AL273</f>
        <v>112946.61785040019</v>
      </c>
      <c r="AW273" s="90">
        <f>AV273/$AW$264</f>
        <v>1882.4436308400032</v>
      </c>
      <c r="AX273" s="91">
        <f>AW273*(1+$AX$264)</f>
        <v>2258.9323570080037</v>
      </c>
    </row>
    <row r="274" spans="2:50" ht="47.25" customHeight="1" x14ac:dyDescent="0.25">
      <c r="B274" s="13" t="s">
        <v>38</v>
      </c>
      <c r="D274" s="84">
        <v>2326.0970889632104</v>
      </c>
      <c r="E274" s="87">
        <v>0.3</v>
      </c>
      <c r="F274" s="92">
        <v>0.25</v>
      </c>
      <c r="G274" s="87">
        <v>0.25</v>
      </c>
      <c r="H274" s="87">
        <v>0.1</v>
      </c>
      <c r="I274" s="87">
        <v>0.05</v>
      </c>
      <c r="J274" s="87">
        <v>0.02</v>
      </c>
      <c r="K274" s="87">
        <v>0.02</v>
      </c>
      <c r="L274" s="88">
        <v>0.01</v>
      </c>
      <c r="M274" s="89">
        <f>SUMPRODUCT($E$264:$L$264,E274:L274)</f>
        <v>14.9</v>
      </c>
      <c r="N274" s="90">
        <f>(SUMPRODUCT($E$264:$L$264,E274:L274))*$N$264*D274</f>
        <v>6931.7693251103683</v>
      </c>
      <c r="O274" s="90">
        <f>N274/$O$264</f>
        <v>115.52948875183947</v>
      </c>
      <c r="P274" s="91">
        <f>O274*(1+$P$264)</f>
        <v>138.63538650220735</v>
      </c>
      <c r="S274" s="13" t="s">
        <v>38</v>
      </c>
      <c r="U274" s="84">
        <v>3129.9962429088955</v>
      </c>
      <c r="V274" s="87">
        <v>0.3</v>
      </c>
      <c r="W274" s="92">
        <v>0.25</v>
      </c>
      <c r="X274" s="87">
        <v>0.25</v>
      </c>
      <c r="Y274" s="87">
        <v>0.1</v>
      </c>
      <c r="Z274" s="87">
        <v>0.05</v>
      </c>
      <c r="AA274" s="87">
        <v>0.02</v>
      </c>
      <c r="AB274" s="87">
        <v>0.02</v>
      </c>
      <c r="AC274" s="88"/>
      <c r="AD274" s="89">
        <f>SUMPRODUCT($V$264:$AC$264,V274:AC274)</f>
        <v>4.9000000000000004</v>
      </c>
      <c r="AE274" s="90">
        <f>(SUMPRODUCT($V$264:$AC$264,V274:AC274))*$AE$264*U274</f>
        <v>3067.396318050718</v>
      </c>
      <c r="AF274" s="90">
        <f>AE274/$AF$264</f>
        <v>51.123271967511968</v>
      </c>
      <c r="AG274" s="91">
        <f>AF274*(1+$AG$264)</f>
        <v>61.347926361014359</v>
      </c>
      <c r="AJ274" s="13" t="s">
        <v>38</v>
      </c>
      <c r="AL274" s="84">
        <v>6574.0614971130408</v>
      </c>
      <c r="AM274" s="87">
        <v>0.3</v>
      </c>
      <c r="AN274" s="92">
        <v>0.25</v>
      </c>
      <c r="AO274" s="87">
        <v>0.25</v>
      </c>
      <c r="AP274" s="87">
        <v>0.1</v>
      </c>
      <c r="AQ274" s="87">
        <v>0.05</v>
      </c>
      <c r="AR274" s="87">
        <v>0.02</v>
      </c>
      <c r="AS274" s="87">
        <v>0.02</v>
      </c>
      <c r="AT274" s="88">
        <v>0.01</v>
      </c>
      <c r="AU274" s="89">
        <f>SUMPRODUCT($AM$264:$AT$264,AM274:AT274)</f>
        <v>14.9</v>
      </c>
      <c r="AV274" s="90">
        <f>(SUMPRODUCT($AM$264:$AT$264,AM274:AT274))*$AV$264*AL274</f>
        <v>19590.703261396866</v>
      </c>
      <c r="AW274" s="90">
        <f>AV274/$AW$264</f>
        <v>326.5117210232811</v>
      </c>
      <c r="AX274" s="91">
        <f>AW274*(1+$AX$264)</f>
        <v>391.81406522793731</v>
      </c>
    </row>
    <row r="275" spans="2:50" ht="15.75" customHeight="1" x14ac:dyDescent="0.25">
      <c r="B275" s="13" t="s">
        <v>39</v>
      </c>
      <c r="D275" s="84">
        <v>5552.6188575250835</v>
      </c>
      <c r="E275" s="87">
        <v>0.1</v>
      </c>
      <c r="F275" s="92">
        <v>0.12</v>
      </c>
      <c r="G275" s="87">
        <v>0.12</v>
      </c>
      <c r="H275" s="87">
        <v>0.1</v>
      </c>
      <c r="I275" s="87">
        <v>0.18</v>
      </c>
      <c r="J275" s="87">
        <v>0.2</v>
      </c>
      <c r="K275" s="87">
        <v>0.15</v>
      </c>
      <c r="L275" s="88">
        <v>0.03</v>
      </c>
      <c r="M275" s="89">
        <f>SUMPRODUCT($E$264:$L$264,E275:L275)</f>
        <v>57.71</v>
      </c>
      <c r="N275" s="90">
        <f>(SUMPRODUCT($E$264:$L$264,E275:L275))*$N$264*D275</f>
        <v>64088.326853554521</v>
      </c>
      <c r="O275" s="90">
        <f>N275/$O$264</f>
        <v>1068.1387808925754</v>
      </c>
      <c r="P275" s="91">
        <f>O275*(1+$P$264)</f>
        <v>1281.7665370710904</v>
      </c>
      <c r="S275" s="13" t="s">
        <v>39</v>
      </c>
      <c r="U275" s="84">
        <v>7471.6039346857515</v>
      </c>
      <c r="V275" s="87">
        <v>0.1</v>
      </c>
      <c r="W275" s="92">
        <v>0.12</v>
      </c>
      <c r="X275" s="87">
        <v>0.12</v>
      </c>
      <c r="Y275" s="87">
        <v>0.1</v>
      </c>
      <c r="Z275" s="87">
        <v>0.18</v>
      </c>
      <c r="AA275" s="87">
        <v>0.2</v>
      </c>
      <c r="AB275" s="87">
        <v>0.15</v>
      </c>
      <c r="AC275" s="88"/>
      <c r="AD275" s="89">
        <f>SUMPRODUCT($V$264:$AC$264,V275:AC275)</f>
        <v>27.71</v>
      </c>
      <c r="AE275" s="90">
        <f>(SUMPRODUCT($V$264:$AC$264,V275:AC275))*$AE$264*U275</f>
        <v>41407.629006028437</v>
      </c>
      <c r="AF275" s="90">
        <f>AE275/$AF$264</f>
        <v>690.12715010047395</v>
      </c>
      <c r="AG275" s="91">
        <f>AF275*(1+$AG$264)</f>
        <v>828.1525801205687</v>
      </c>
      <c r="AJ275" s="13" t="s">
        <v>39</v>
      </c>
      <c r="AL275" s="84">
        <v>15692.92099310855</v>
      </c>
      <c r="AM275" s="87">
        <v>0.1</v>
      </c>
      <c r="AN275" s="92">
        <v>0.12</v>
      </c>
      <c r="AO275" s="87">
        <v>0.12</v>
      </c>
      <c r="AP275" s="87">
        <v>0.1</v>
      </c>
      <c r="AQ275" s="87">
        <v>0.18</v>
      </c>
      <c r="AR275" s="87">
        <v>0.2</v>
      </c>
      <c r="AS275" s="87">
        <v>0.15</v>
      </c>
      <c r="AT275" s="88">
        <v>0.03</v>
      </c>
      <c r="AU275" s="89">
        <f>SUMPRODUCT($AM$264:$AT$264,AM275:AT275)</f>
        <v>57.71</v>
      </c>
      <c r="AV275" s="90">
        <f>(SUMPRODUCT($AM$264:$AT$264,AM275:AT275))*$AV$264*AL275</f>
        <v>181127.69410245892</v>
      </c>
      <c r="AW275" s="90">
        <f>AV275/$AW$264</f>
        <v>3018.7949017076485</v>
      </c>
      <c r="AX275" s="91">
        <f>AW275*(1+$AX$264)</f>
        <v>3622.5538820491779</v>
      </c>
    </row>
    <row r="276" spans="2:50" ht="15.75" customHeight="1" x14ac:dyDescent="0.25">
      <c r="B276" s="13" t="s">
        <v>3</v>
      </c>
      <c r="D276" s="84">
        <v>6828.2204869565203</v>
      </c>
      <c r="E276" s="87">
        <v>0.1</v>
      </c>
      <c r="F276" s="92">
        <v>0.15</v>
      </c>
      <c r="G276" s="87">
        <v>0.2</v>
      </c>
      <c r="H276" s="87">
        <v>0.18</v>
      </c>
      <c r="I276" s="87">
        <v>0.15</v>
      </c>
      <c r="J276" s="87">
        <v>0.1</v>
      </c>
      <c r="K276" s="87">
        <v>0.1</v>
      </c>
      <c r="L276" s="88">
        <v>0.02</v>
      </c>
      <c r="M276" s="89">
        <f>SUMPRODUCT($E$264:$L$264,E276:L276)</f>
        <v>38</v>
      </c>
      <c r="N276" s="90">
        <f>(SUMPRODUCT($E$264:$L$264,E276:L276))*$N$264*D276</f>
        <v>51894.47570086956</v>
      </c>
      <c r="O276" s="90">
        <f>N276/$O$264</f>
        <v>864.90792834782599</v>
      </c>
      <c r="P276" s="91">
        <f>O276*(1+$P$264)</f>
        <v>1037.8895140173911</v>
      </c>
      <c r="S276" s="13" t="s">
        <v>3</v>
      </c>
      <c r="U276" s="84">
        <v>9188.0534872486933</v>
      </c>
      <c r="V276" s="87">
        <v>0.1</v>
      </c>
      <c r="W276" s="92">
        <v>0.15</v>
      </c>
      <c r="X276" s="87">
        <v>0.2</v>
      </c>
      <c r="Y276" s="87">
        <v>0.18</v>
      </c>
      <c r="Z276" s="87">
        <v>0.15</v>
      </c>
      <c r="AA276" s="87">
        <v>0.1</v>
      </c>
      <c r="AB276" s="87">
        <v>0.1</v>
      </c>
      <c r="AC276" s="88"/>
      <c r="AD276" s="89">
        <f>SUMPRODUCT($V$264:$AC$264,V276:AC276)</f>
        <v>18</v>
      </c>
      <c r="AE276" s="90">
        <f>(SUMPRODUCT($V$264:$AC$264,V276:AC276))*$AE$264*U276</f>
        <v>33076.992554095297</v>
      </c>
      <c r="AF276" s="90">
        <f>AE276/$AF$264</f>
        <v>551.28320923492163</v>
      </c>
      <c r="AG276" s="91">
        <f>AF276*(1+$AG$264)</f>
        <v>661.53985108190591</v>
      </c>
      <c r="AJ276" s="13" t="s">
        <v>3</v>
      </c>
      <c r="AL276" s="84">
        <v>19298.051491525377</v>
      </c>
      <c r="AM276" s="87">
        <v>0.1</v>
      </c>
      <c r="AN276" s="92">
        <v>0.15</v>
      </c>
      <c r="AO276" s="87">
        <v>0.2</v>
      </c>
      <c r="AP276" s="87">
        <v>0.18</v>
      </c>
      <c r="AQ276" s="87">
        <v>0.15</v>
      </c>
      <c r="AR276" s="87">
        <v>0.1</v>
      </c>
      <c r="AS276" s="87">
        <v>0.1</v>
      </c>
      <c r="AT276" s="88">
        <v>0.02</v>
      </c>
      <c r="AU276" s="89">
        <f>SUMPRODUCT($AM$264:$AT$264,AM276:AT276)</f>
        <v>38</v>
      </c>
      <c r="AV276" s="90">
        <f>(SUMPRODUCT($AM$264:$AT$264,AM276:AT276))*$AV$264*AL276</f>
        <v>146665.19133559288</v>
      </c>
      <c r="AW276" s="90">
        <f>AV276/$AW$264</f>
        <v>2444.4198555932148</v>
      </c>
      <c r="AX276" s="91">
        <f>AW276*(1+$AX$264)</f>
        <v>2933.3038267118577</v>
      </c>
    </row>
    <row r="277" spans="2:50" ht="31.5" customHeight="1" x14ac:dyDescent="0.25">
      <c r="B277" s="13" t="s">
        <v>40</v>
      </c>
      <c r="D277" s="84">
        <v>2025.9555290969897</v>
      </c>
      <c r="E277" s="87">
        <v>0.25</v>
      </c>
      <c r="F277" s="92">
        <v>0.2</v>
      </c>
      <c r="G277" s="87">
        <v>0.17</v>
      </c>
      <c r="H277" s="87">
        <v>0.15</v>
      </c>
      <c r="I277" s="87">
        <v>0.1</v>
      </c>
      <c r="J277" s="87">
        <v>0.1</v>
      </c>
      <c r="K277" s="87">
        <v>0.02</v>
      </c>
      <c r="L277" s="88">
        <v>0.01</v>
      </c>
      <c r="M277" s="89">
        <f>SUMPRODUCT($E$264:$L$264,E277:L277)</f>
        <v>19.414999999999999</v>
      </c>
      <c r="N277" s="90">
        <f>(SUMPRODUCT($E$264:$L$264,E277:L277))*$N$264*D277</f>
        <v>7866.7853194836107</v>
      </c>
      <c r="O277" s="90">
        <f>N277/$O$264</f>
        <v>131.11308865806018</v>
      </c>
      <c r="P277" s="91">
        <f>O277*(1+$P$264)</f>
        <v>157.3357063896722</v>
      </c>
      <c r="S277" s="13" t="s">
        <v>40</v>
      </c>
      <c r="U277" s="84">
        <v>2726.125759952909</v>
      </c>
      <c r="V277" s="87">
        <v>0.25</v>
      </c>
      <c r="W277" s="92">
        <v>0.2</v>
      </c>
      <c r="X277" s="87">
        <v>0.17</v>
      </c>
      <c r="Y277" s="87">
        <v>0.15</v>
      </c>
      <c r="Z277" s="87">
        <v>0.1</v>
      </c>
      <c r="AA277" s="87">
        <v>0.1</v>
      </c>
      <c r="AB277" s="87">
        <v>0.02</v>
      </c>
      <c r="AC277" s="88"/>
      <c r="AD277" s="89">
        <f>SUMPRODUCT($V$264:$AC$264,V277:AC277)</f>
        <v>9.4149999999999991</v>
      </c>
      <c r="AE277" s="90">
        <f>(SUMPRODUCT($V$264:$AC$264,V277:AC277))*$AE$264*U277</f>
        <v>5133.2948059913278</v>
      </c>
      <c r="AF277" s="90">
        <f>AE277/$AF$264</f>
        <v>85.554913433188801</v>
      </c>
      <c r="AG277" s="91">
        <f>AF277*(1+$AG$264)</f>
        <v>102.66589611982656</v>
      </c>
      <c r="AJ277" s="13" t="s">
        <v>40</v>
      </c>
      <c r="AL277" s="84">
        <v>5725.795497485552</v>
      </c>
      <c r="AM277" s="87">
        <v>0.25</v>
      </c>
      <c r="AN277" s="92">
        <v>0.2</v>
      </c>
      <c r="AO277" s="87">
        <v>0.17</v>
      </c>
      <c r="AP277" s="87">
        <v>0.15</v>
      </c>
      <c r="AQ277" s="87">
        <v>0.1</v>
      </c>
      <c r="AR277" s="87">
        <v>0.1</v>
      </c>
      <c r="AS277" s="87">
        <v>0.02</v>
      </c>
      <c r="AT277" s="88">
        <v>0.01</v>
      </c>
      <c r="AU277" s="89">
        <f>SUMPRODUCT($AM$264:$AT$264,AM277:AT277)</f>
        <v>19.414999999999999</v>
      </c>
      <c r="AV277" s="90">
        <f>(SUMPRODUCT($AM$264:$AT$264,AM277:AT277))*$AV$264*AL277</f>
        <v>22233.2639167364</v>
      </c>
      <c r="AW277" s="90">
        <f>AV277/$AW$264</f>
        <v>370.5543986122733</v>
      </c>
      <c r="AX277" s="91">
        <f>AW277*(1+$AX$264)</f>
        <v>444.66527833472793</v>
      </c>
    </row>
    <row r="278" spans="2:50" ht="15.75" customHeight="1" x14ac:dyDescent="0.25">
      <c r="B278" s="13" t="s">
        <v>2</v>
      </c>
      <c r="D278" s="84">
        <v>4201.9818381270888</v>
      </c>
      <c r="E278" s="87">
        <v>0.3</v>
      </c>
      <c r="F278" s="92">
        <v>0.27</v>
      </c>
      <c r="G278" s="87">
        <v>0.2</v>
      </c>
      <c r="H278" s="87">
        <v>0.05</v>
      </c>
      <c r="I278" s="87">
        <v>0.1</v>
      </c>
      <c r="J278" s="87">
        <v>0.05</v>
      </c>
      <c r="K278" s="87">
        <v>0.02</v>
      </c>
      <c r="L278" s="88">
        <v>0.01</v>
      </c>
      <c r="M278" s="89">
        <f>SUMPRODUCT($E$264:$L$264,E278:L278)</f>
        <v>16.57</v>
      </c>
      <c r="N278" s="90">
        <f>(SUMPRODUCT($E$264:$L$264,E278:L278))*$N$264*D278</f>
        <v>13925.367811553173</v>
      </c>
      <c r="O278" s="90">
        <f>N278/$O$264</f>
        <v>232.0894635258862</v>
      </c>
      <c r="P278" s="91">
        <f>O278*(1+$P$264)</f>
        <v>278.50735623106345</v>
      </c>
      <c r="S278" s="13" t="s">
        <v>2</v>
      </c>
      <c r="U278" s="84">
        <v>5654.1867613838103</v>
      </c>
      <c r="V278" s="87">
        <v>0.3</v>
      </c>
      <c r="W278" s="92">
        <v>0.27</v>
      </c>
      <c r="X278" s="87">
        <v>0.2</v>
      </c>
      <c r="Y278" s="87">
        <v>0.05</v>
      </c>
      <c r="Z278" s="87">
        <v>0.1</v>
      </c>
      <c r="AA278" s="87">
        <v>0.05</v>
      </c>
      <c r="AB278" s="87">
        <v>0.02</v>
      </c>
      <c r="AC278" s="88"/>
      <c r="AD278" s="89">
        <f>SUMPRODUCT($V$264:$AC$264,V278:AC278)</f>
        <v>6.57</v>
      </c>
      <c r="AE278" s="90">
        <f>(SUMPRODUCT($V$264:$AC$264,V278:AC278))*$AE$264*U278</f>
        <v>7429.6014044583271</v>
      </c>
      <c r="AF278" s="90">
        <f>AE278/$AF$264</f>
        <v>123.82669007430545</v>
      </c>
      <c r="AG278" s="91">
        <f>AF278*(1+$AG$264)</f>
        <v>148.59202808916652</v>
      </c>
      <c r="AJ278" s="13" t="s">
        <v>2</v>
      </c>
      <c r="AL278" s="84">
        <v>11875.723994784845</v>
      </c>
      <c r="AM278" s="87">
        <v>0.3</v>
      </c>
      <c r="AN278" s="92">
        <v>0.27</v>
      </c>
      <c r="AO278" s="87">
        <v>0.2</v>
      </c>
      <c r="AP278" s="87">
        <v>0.05</v>
      </c>
      <c r="AQ278" s="87">
        <v>0.1</v>
      </c>
      <c r="AR278" s="87">
        <v>0.05</v>
      </c>
      <c r="AS278" s="87">
        <v>0.02</v>
      </c>
      <c r="AT278" s="88">
        <v>0.01</v>
      </c>
      <c r="AU278" s="89">
        <f>SUMPRODUCT($AM$264:$AT$264,AM278:AT278)</f>
        <v>16.57</v>
      </c>
      <c r="AV278" s="90">
        <f>(SUMPRODUCT($AM$264:$AT$264,AM278:AT278))*$AV$264*AL278</f>
        <v>39356.149318716976</v>
      </c>
      <c r="AW278" s="90">
        <f>AV278/$AW$264</f>
        <v>655.93582197861622</v>
      </c>
      <c r="AX278" s="91">
        <f>AW278*(1+$AX$264)</f>
        <v>787.12298637433946</v>
      </c>
    </row>
    <row r="279" spans="2:50" ht="15.75" customHeight="1" x14ac:dyDescent="0.25">
      <c r="B279" s="13" t="s">
        <v>41</v>
      </c>
      <c r="D279" s="84">
        <v>2626.2386488294314</v>
      </c>
      <c r="E279" s="87">
        <v>0.1</v>
      </c>
      <c r="F279" s="92">
        <v>0.14000000000000001</v>
      </c>
      <c r="G279" s="87">
        <v>0.15</v>
      </c>
      <c r="H279" s="87">
        <v>0.2</v>
      </c>
      <c r="I279" s="87">
        <v>0.25</v>
      </c>
      <c r="J279" s="87">
        <v>0.1</v>
      </c>
      <c r="K279" s="87">
        <v>0.05</v>
      </c>
      <c r="L279" s="88">
        <v>0.01</v>
      </c>
      <c r="M279" s="89">
        <f>SUMPRODUCT($E$264:$L$264,E279:L279)</f>
        <v>23.990000000000002</v>
      </c>
      <c r="N279" s="90">
        <f>(SUMPRODUCT($E$264:$L$264,E279:L279))*$N$264*D279</f>
        <v>12600.693037083614</v>
      </c>
      <c r="O279" s="90">
        <f>N279/$O$264</f>
        <v>210.01155061806023</v>
      </c>
      <c r="P279" s="91">
        <f>O279*(1+$P$264)</f>
        <v>252.01386074167226</v>
      </c>
      <c r="S279" s="13" t="s">
        <v>41</v>
      </c>
      <c r="U279" s="84">
        <v>3533.8667258648825</v>
      </c>
      <c r="V279" s="87">
        <v>0.1</v>
      </c>
      <c r="W279" s="92">
        <v>0.14000000000000001</v>
      </c>
      <c r="X279" s="87">
        <v>0.15</v>
      </c>
      <c r="Y279" s="87">
        <v>0.2</v>
      </c>
      <c r="Z279" s="87">
        <v>0.25</v>
      </c>
      <c r="AA279" s="87">
        <v>0.1</v>
      </c>
      <c r="AB279" s="87">
        <v>0.05</v>
      </c>
      <c r="AC279" s="88"/>
      <c r="AD279" s="89">
        <f>SUMPRODUCT($V$264:$AC$264,V279:AC279)</f>
        <v>13.99</v>
      </c>
      <c r="AE279" s="90">
        <f>(SUMPRODUCT($V$264:$AC$264,V279:AC279))*$AE$264*U279</f>
        <v>9887.759098969942</v>
      </c>
      <c r="AF279" s="90">
        <f>AE279/$AF$264</f>
        <v>164.79598498283238</v>
      </c>
      <c r="AG279" s="91">
        <f>AF279*(1+$AG$264)</f>
        <v>197.75518197939886</v>
      </c>
      <c r="AJ279" s="13" t="s">
        <v>41</v>
      </c>
      <c r="AL279" s="84">
        <v>7422.3274967405305</v>
      </c>
      <c r="AM279" s="87">
        <v>0.1</v>
      </c>
      <c r="AN279" s="92">
        <v>0.14000000000000001</v>
      </c>
      <c r="AO279" s="87">
        <v>0.15</v>
      </c>
      <c r="AP279" s="87">
        <v>0.2</v>
      </c>
      <c r="AQ279" s="87">
        <v>0.25</v>
      </c>
      <c r="AR279" s="87">
        <v>0.1</v>
      </c>
      <c r="AS279" s="87">
        <v>0.05</v>
      </c>
      <c r="AT279" s="88">
        <v>0.01</v>
      </c>
      <c r="AU279" s="89">
        <f>SUMPRODUCT($AM$264:$AT$264,AM279:AT279)</f>
        <v>23.990000000000002</v>
      </c>
      <c r="AV279" s="90">
        <f>(SUMPRODUCT($AM$264:$AT$264,AM279:AT279))*$AV$264*AL279</f>
        <v>35612.327329361069</v>
      </c>
      <c r="AW279" s="90">
        <f>AV279/$AW$264</f>
        <v>593.53878882268452</v>
      </c>
      <c r="AX279" s="91">
        <f>AW279*(1+$AX$264)</f>
        <v>712.24654658722136</v>
      </c>
    </row>
    <row r="280" spans="2:50" ht="15.75" customHeight="1" x14ac:dyDescent="0.25">
      <c r="B280" s="13" t="s">
        <v>42</v>
      </c>
      <c r="D280" s="84">
        <v>3301.5571585284279</v>
      </c>
      <c r="E280" s="87">
        <v>0.1</v>
      </c>
      <c r="F280" s="92">
        <v>0.15</v>
      </c>
      <c r="G280" s="87">
        <v>0.2</v>
      </c>
      <c r="H280" s="87">
        <v>0.22</v>
      </c>
      <c r="I280" s="87">
        <v>0.2</v>
      </c>
      <c r="J280" s="87">
        <v>0.1</v>
      </c>
      <c r="K280" s="87">
        <v>0.02</v>
      </c>
      <c r="L280" s="88">
        <v>0.01</v>
      </c>
      <c r="M280" s="89">
        <f>SUMPRODUCT($E$264:$L$264,E280:L280)</f>
        <v>20.7</v>
      </c>
      <c r="N280" s="90">
        <f>(SUMPRODUCT($E$264:$L$264,E280:L280))*$N$264*D280</f>
        <v>13668.44663630769</v>
      </c>
      <c r="O280" s="90">
        <f>N280/$O$264</f>
        <v>227.80744393846149</v>
      </c>
      <c r="P280" s="91">
        <f>O280*(1+$P$264)</f>
        <v>273.36893272615379</v>
      </c>
      <c r="S280" s="13" t="s">
        <v>42</v>
      </c>
      <c r="U280" s="84">
        <v>4442.5753125158526</v>
      </c>
      <c r="V280" s="87">
        <v>0.1</v>
      </c>
      <c r="W280" s="92">
        <v>0.15</v>
      </c>
      <c r="X280" s="87">
        <v>0.2</v>
      </c>
      <c r="Y280" s="87">
        <v>0.22</v>
      </c>
      <c r="Z280" s="87">
        <v>0.2</v>
      </c>
      <c r="AA280" s="87">
        <v>0.1</v>
      </c>
      <c r="AB280" s="87">
        <v>0.02</v>
      </c>
      <c r="AC280" s="88"/>
      <c r="AD280" s="89">
        <f>SUMPRODUCT($V$264:$AC$264,V280:AC280)</f>
        <v>10.7</v>
      </c>
      <c r="AE280" s="90">
        <f>(SUMPRODUCT($V$264:$AC$264,V280:AC280))*$AE$264*U280</f>
        <v>9507.1111687839257</v>
      </c>
      <c r="AF280" s="90">
        <f>AE280/$AF$264</f>
        <v>158.45185281306541</v>
      </c>
      <c r="AG280" s="91">
        <f>AF280*(1+$AG$264)</f>
        <v>190.1422233756785</v>
      </c>
      <c r="AJ280" s="13" t="s">
        <v>42</v>
      </c>
      <c r="AL280" s="84">
        <v>9330.9259959023802</v>
      </c>
      <c r="AM280" s="87">
        <v>0.1</v>
      </c>
      <c r="AN280" s="92">
        <v>0.15</v>
      </c>
      <c r="AO280" s="87">
        <v>0.2</v>
      </c>
      <c r="AP280" s="87">
        <v>0.22</v>
      </c>
      <c r="AQ280" s="87">
        <v>0.2</v>
      </c>
      <c r="AR280" s="87">
        <v>0.1</v>
      </c>
      <c r="AS280" s="87">
        <v>0.02</v>
      </c>
      <c r="AT280" s="88">
        <v>0.01</v>
      </c>
      <c r="AU280" s="89">
        <f>SUMPRODUCT($AM$264:$AT$264,AM280:AT280)</f>
        <v>20.7</v>
      </c>
      <c r="AV280" s="90">
        <f>(SUMPRODUCT($AM$264:$AT$264,AM280:AT280))*$AV$264*AL280</f>
        <v>38630.033623035852</v>
      </c>
      <c r="AW280" s="90">
        <f>AV280/$AW$264</f>
        <v>643.83389371726423</v>
      </c>
      <c r="AX280" s="91">
        <f>AW280*(1+$AX$264)</f>
        <v>772.60067246071708</v>
      </c>
    </row>
    <row r="281" spans="2:50" ht="15.75" customHeight="1" x14ac:dyDescent="0.25">
      <c r="B281" s="13" t="s">
        <v>43</v>
      </c>
      <c r="D281" s="84">
        <v>59309.410033444809</v>
      </c>
      <c r="E281" s="87">
        <v>0.05</v>
      </c>
      <c r="F281" s="92">
        <v>0.05</v>
      </c>
      <c r="G281" s="87">
        <v>0.1</v>
      </c>
      <c r="H281" s="87">
        <v>0.1</v>
      </c>
      <c r="I281" s="87">
        <v>0.15</v>
      </c>
      <c r="J281" s="87">
        <v>0.2</v>
      </c>
      <c r="K281" s="87">
        <v>0.25</v>
      </c>
      <c r="L281" s="88">
        <v>0.1</v>
      </c>
      <c r="M281" s="89">
        <f>SUMPRODUCT($E$264:$L$264,E281:L281)</f>
        <v>137.27500000000001</v>
      </c>
      <c r="N281" s="90">
        <f>(SUMPRODUCT($E$264:$L$264,E281:L281))*$N$264*D281</f>
        <v>1628339.8524682273</v>
      </c>
      <c r="O281" s="90">
        <f>N281/$O$264</f>
        <v>27138.99754113712</v>
      </c>
      <c r="P281" s="91">
        <f>O281*(1+$P$264)</f>
        <v>32566.797049364541</v>
      </c>
      <c r="S281" s="13" t="s">
        <v>43</v>
      </c>
      <c r="U281" s="84">
        <v>61136.682936999503</v>
      </c>
      <c r="V281" s="87">
        <v>0.05</v>
      </c>
      <c r="W281" s="92">
        <v>0.05</v>
      </c>
      <c r="X281" s="87">
        <v>0.1</v>
      </c>
      <c r="Y281" s="87">
        <v>0.1</v>
      </c>
      <c r="Z281" s="87">
        <v>0.15</v>
      </c>
      <c r="AA281" s="87">
        <v>0.2</v>
      </c>
      <c r="AB281" s="87">
        <v>0.25</v>
      </c>
      <c r="AC281" s="88"/>
      <c r="AD281" s="89">
        <f>SUMPRODUCT($V$264:$AC$264,V281:AC281)</f>
        <v>37.274999999999999</v>
      </c>
      <c r="AE281" s="90">
        <f>(SUMPRODUCT($V$264:$AC$264,V281:AC281))*$AE$264*U281</f>
        <v>455773.97129533131</v>
      </c>
      <c r="AF281" s="90">
        <f>AE281/$AF$264</f>
        <v>7596.2328549221884</v>
      </c>
      <c r="AG281" s="91">
        <f>AF281*(1+$AG$264)</f>
        <v>9115.4794259066257</v>
      </c>
      <c r="AJ281" s="13" t="s">
        <v>43</v>
      </c>
      <c r="AL281" s="84">
        <v>65160.991223364159</v>
      </c>
      <c r="AM281" s="87">
        <v>0.05</v>
      </c>
      <c r="AN281" s="92">
        <v>0.05</v>
      </c>
      <c r="AO281" s="87">
        <v>0.1</v>
      </c>
      <c r="AP281" s="87">
        <v>0.1</v>
      </c>
      <c r="AQ281" s="87">
        <v>0.15</v>
      </c>
      <c r="AR281" s="87">
        <v>0.2</v>
      </c>
      <c r="AS281" s="87">
        <v>0.25</v>
      </c>
      <c r="AT281" s="88">
        <v>0.1</v>
      </c>
      <c r="AU281" s="89">
        <f>SUMPRODUCT($AM$264:$AT$264,AM281:AT281)</f>
        <v>137.27500000000001</v>
      </c>
      <c r="AV281" s="90">
        <f>(SUMPRODUCT($AM$264:$AT$264,AM281:AT281))*$AV$264*AL281</f>
        <v>1788995.0140374631</v>
      </c>
      <c r="AW281" s="90">
        <f>AV281/$AW$264</f>
        <v>29816.583567291051</v>
      </c>
      <c r="AX281" s="91">
        <f>AW281*(1+$AX$264)</f>
        <v>35779.900280749258</v>
      </c>
    </row>
    <row r="282" spans="2:50" ht="15.75" customHeight="1" thickBot="1" x14ac:dyDescent="0.3">
      <c r="B282" s="103" t="s">
        <v>44</v>
      </c>
      <c r="D282" s="93">
        <v>3126.7123287671234</v>
      </c>
      <c r="E282" s="94">
        <v>0.05</v>
      </c>
      <c r="F282" s="94">
        <v>0.13</v>
      </c>
      <c r="G282" s="95">
        <v>0.2</v>
      </c>
      <c r="H282" s="95">
        <v>0.25</v>
      </c>
      <c r="I282" s="95">
        <v>0.2</v>
      </c>
      <c r="J282" s="95">
        <v>0.1</v>
      </c>
      <c r="K282" s="95">
        <v>0.05</v>
      </c>
      <c r="L282" s="96">
        <v>0.02</v>
      </c>
      <c r="M282" s="97">
        <f>SUMPRODUCT($E$264:$L$264,E282:L282)</f>
        <v>33.805</v>
      </c>
      <c r="N282" s="98">
        <f>(SUMPRODUCT($E$264:$L$264,E282:L282))*$N$264*D282</f>
        <v>21139.702054794521</v>
      </c>
      <c r="O282" s="98">
        <f>N282/$O$264</f>
        <v>352.32836757990867</v>
      </c>
      <c r="P282" s="99">
        <f>O282*(1+$P$264)</f>
        <v>422.79404109589041</v>
      </c>
      <c r="S282" s="103" t="s">
        <v>44</v>
      </c>
      <c r="U282" s="93">
        <v>3414.4480308219181</v>
      </c>
      <c r="V282" s="94">
        <v>0.05</v>
      </c>
      <c r="W282" s="94">
        <v>0.13</v>
      </c>
      <c r="X282" s="95">
        <v>0.2</v>
      </c>
      <c r="Y282" s="95">
        <v>0.25</v>
      </c>
      <c r="Z282" s="95">
        <v>0.2</v>
      </c>
      <c r="AA282" s="95">
        <v>0.1</v>
      </c>
      <c r="AB282" s="95">
        <v>0.05</v>
      </c>
      <c r="AC282" s="96"/>
      <c r="AD282" s="97">
        <f>SUMPRODUCT($V$264:$AC$264,V282:AC282)</f>
        <v>13.805</v>
      </c>
      <c r="AE282" s="98">
        <f>(SUMPRODUCT($V$264:$AC$264,V282:AC282))*$AE$264*U282</f>
        <v>9427.2910130993168</v>
      </c>
      <c r="AF282" s="98">
        <f>AE282/$AF$264</f>
        <v>157.12151688498861</v>
      </c>
      <c r="AG282" s="99">
        <f>AF282*(1+$AG$264)</f>
        <v>188.54582026198634</v>
      </c>
      <c r="AJ282" s="103" t="s">
        <v>44</v>
      </c>
      <c r="AL282" s="93">
        <v>4275.421428832422</v>
      </c>
      <c r="AM282" s="94">
        <v>0.05</v>
      </c>
      <c r="AN282" s="94">
        <v>0.13</v>
      </c>
      <c r="AO282" s="95">
        <v>0.2</v>
      </c>
      <c r="AP282" s="95">
        <v>0.25</v>
      </c>
      <c r="AQ282" s="95">
        <v>0.2</v>
      </c>
      <c r="AR282" s="95">
        <v>0.1</v>
      </c>
      <c r="AS282" s="95">
        <v>0.05</v>
      </c>
      <c r="AT282" s="96">
        <v>0.02</v>
      </c>
      <c r="AU282" s="97">
        <f>SUMPRODUCT($AM$264:$AT$264,AM282:AT282)</f>
        <v>33.805</v>
      </c>
      <c r="AV282" s="98">
        <f>(SUMPRODUCT($AM$264:$AT$264,AM282:AT282))*$AV$264*AL282</f>
        <v>28906.124280336004</v>
      </c>
      <c r="AW282" s="98">
        <f>AV282/$AW$264</f>
        <v>481.76873800560008</v>
      </c>
      <c r="AX282" s="99">
        <f>AW282*(1+$AX$264)</f>
        <v>578.12248560672003</v>
      </c>
    </row>
    <row r="283" spans="2:50" ht="15.75" customHeight="1" x14ac:dyDescent="0.25">
      <c r="B283" s="104" t="s">
        <v>182</v>
      </c>
      <c r="D283" s="100">
        <f>SUM(D266:D282)</f>
        <v>134845.27367993767</v>
      </c>
      <c r="M283" s="8"/>
      <c r="N283" s="100">
        <f>SUM(N266:N282)</f>
        <v>2045466.744373732</v>
      </c>
      <c r="O283" s="101">
        <f>N283/$O$264</f>
        <v>34091.112406228865</v>
      </c>
      <c r="P283" s="101">
        <f>O283*(1+$P$264)</f>
        <v>40909.334887474637</v>
      </c>
      <c r="S283" s="104" t="s">
        <v>182</v>
      </c>
      <c r="U283" s="100">
        <f>SUM(U266:U282)</f>
        <v>161984.88498095318</v>
      </c>
      <c r="AD283" s="8"/>
      <c r="AE283" s="100">
        <f>SUM(AE266:AE282)</f>
        <v>691100.0579249966</v>
      </c>
      <c r="AF283" s="101">
        <f>AE283/$AF$264</f>
        <v>11518.334298749944</v>
      </c>
      <c r="AG283" s="101">
        <f>AF283*(1+$AG$264)</f>
        <v>13822.001158499932</v>
      </c>
      <c r="AJ283" s="104" t="s">
        <v>182</v>
      </c>
      <c r="AL283" s="100">
        <f>SUM(AL266:AL282)</f>
        <v>274080.58506232826</v>
      </c>
      <c r="AU283" s="8"/>
      <c r="AV283" s="100">
        <f>SUM(AV266:AV282)</f>
        <v>2937047.9488698323</v>
      </c>
      <c r="AW283" s="101">
        <f>AV283/$AW$264</f>
        <v>48950.799147830541</v>
      </c>
      <c r="AX283" s="101">
        <f>AW283*(1+$AX$264)</f>
        <v>58740.958977396651</v>
      </c>
    </row>
    <row r="284" spans="2:50" ht="15" customHeight="1" x14ac:dyDescent="0.25">
      <c r="M284" s="8"/>
      <c r="N284" s="8">
        <f>N283/D283</f>
        <v>15.168991011347973</v>
      </c>
      <c r="O284" s="8">
        <f>N284/$O$264</f>
        <v>0.25281651685579953</v>
      </c>
      <c r="P284" s="8">
        <f>O284*(1+$P$264)</f>
        <v>0.30337982022695942</v>
      </c>
      <c r="AD284" s="8"/>
      <c r="AE284" s="8">
        <f>AE283/U283</f>
        <v>4.2664478108945714</v>
      </c>
      <c r="AF284" s="8">
        <f>AE284/$AF$264</f>
        <v>7.1107463514909527E-2</v>
      </c>
      <c r="AG284" s="8">
        <f>AF284*(1+$AG$264)</f>
        <v>8.5328956217891425E-2</v>
      </c>
      <c r="AU284" s="8"/>
      <c r="AV284" s="8">
        <f>AV283/AL283</f>
        <v>10.716001457023753</v>
      </c>
      <c r="AW284" s="8">
        <f>AV284/$AW$264</f>
        <v>0.1786000242837292</v>
      </c>
      <c r="AX284" s="8">
        <f>AW284*(1+$AX$264)</f>
        <v>0.21432002914047504</v>
      </c>
    </row>
  </sheetData>
  <mergeCells count="120">
    <mergeCell ref="AU95:AU96"/>
    <mergeCell ref="AJ235:AJ236"/>
    <mergeCell ref="AL235:AL236"/>
    <mergeCell ref="AM235:AT235"/>
    <mergeCell ref="AU235:AU236"/>
    <mergeCell ref="AJ123:AJ124"/>
    <mergeCell ref="AL123:AL124"/>
    <mergeCell ref="AM123:AT123"/>
    <mergeCell ref="AU123:AU124"/>
    <mergeCell ref="AJ151:AJ152"/>
    <mergeCell ref="AL151:AL152"/>
    <mergeCell ref="AM151:AT151"/>
    <mergeCell ref="AU151:AU152"/>
    <mergeCell ref="AJ263:AJ264"/>
    <mergeCell ref="AL263:AL264"/>
    <mergeCell ref="AM263:AT263"/>
    <mergeCell ref="AU263:AU264"/>
    <mergeCell ref="AJ179:AJ180"/>
    <mergeCell ref="AL179:AL180"/>
    <mergeCell ref="AM179:AT179"/>
    <mergeCell ref="AU179:AU180"/>
    <mergeCell ref="AJ207:AJ208"/>
    <mergeCell ref="AL207:AL208"/>
    <mergeCell ref="AM207:AT207"/>
    <mergeCell ref="AU207:AU208"/>
    <mergeCell ref="AJ11:AJ12"/>
    <mergeCell ref="AL11:AL12"/>
    <mergeCell ref="AM11:AT11"/>
    <mergeCell ref="AU11:AU12"/>
    <mergeCell ref="AJ39:AJ40"/>
    <mergeCell ref="AL39:AL40"/>
    <mergeCell ref="AM39:AT39"/>
    <mergeCell ref="AU39:AU40"/>
    <mergeCell ref="U235:U236"/>
    <mergeCell ref="V235:AC235"/>
    <mergeCell ref="AD235:AD236"/>
    <mergeCell ref="U123:U124"/>
    <mergeCell ref="V123:AC123"/>
    <mergeCell ref="AD123:AD124"/>
    <mergeCell ref="U11:U12"/>
    <mergeCell ref="V11:AC11"/>
    <mergeCell ref="AD11:AD12"/>
    <mergeCell ref="AJ67:AJ68"/>
    <mergeCell ref="AL67:AL68"/>
    <mergeCell ref="AM67:AT67"/>
    <mergeCell ref="AU67:AU68"/>
    <mergeCell ref="AJ95:AJ96"/>
    <mergeCell ref="AL95:AL96"/>
    <mergeCell ref="AM95:AT95"/>
    <mergeCell ref="S263:S264"/>
    <mergeCell ref="U263:U264"/>
    <mergeCell ref="V263:AC263"/>
    <mergeCell ref="AD263:AD264"/>
    <mergeCell ref="U179:U180"/>
    <mergeCell ref="V179:AC179"/>
    <mergeCell ref="AD179:AD180"/>
    <mergeCell ref="S207:S208"/>
    <mergeCell ref="U207:U208"/>
    <mergeCell ref="V207:AC207"/>
    <mergeCell ref="AD207:AD208"/>
    <mergeCell ref="S151:S152"/>
    <mergeCell ref="U151:U152"/>
    <mergeCell ref="V151:AC151"/>
    <mergeCell ref="AD151:AD152"/>
    <mergeCell ref="U67:U68"/>
    <mergeCell ref="V67:AC67"/>
    <mergeCell ref="AD67:AD68"/>
    <mergeCell ref="S95:S96"/>
    <mergeCell ref="U95:U96"/>
    <mergeCell ref="V95:AC95"/>
    <mergeCell ref="AD95:AD96"/>
    <mergeCell ref="S39:S40"/>
    <mergeCell ref="U39:U40"/>
    <mergeCell ref="V39:AC39"/>
    <mergeCell ref="AD39:AD40"/>
    <mergeCell ref="B263:B264"/>
    <mergeCell ref="D263:D264"/>
    <mergeCell ref="E263:L263"/>
    <mergeCell ref="M263:M264"/>
    <mergeCell ref="S11:S12"/>
    <mergeCell ref="S67:S68"/>
    <mergeCell ref="S123:S124"/>
    <mergeCell ref="S179:S180"/>
    <mergeCell ref="S235:S236"/>
    <mergeCell ref="B207:B208"/>
    <mergeCell ref="D207:D208"/>
    <mergeCell ref="E207:L207"/>
    <mergeCell ref="M207:M208"/>
    <mergeCell ref="B235:B236"/>
    <mergeCell ref="D235:D236"/>
    <mergeCell ref="E235:L235"/>
    <mergeCell ref="M235:M236"/>
    <mergeCell ref="B151:B152"/>
    <mergeCell ref="D151:D152"/>
    <mergeCell ref="E151:L151"/>
    <mergeCell ref="M151:M152"/>
    <mergeCell ref="B179:B180"/>
    <mergeCell ref="D179:D180"/>
    <mergeCell ref="E179:L179"/>
    <mergeCell ref="M179:M180"/>
    <mergeCell ref="B95:B96"/>
    <mergeCell ref="D95:D96"/>
    <mergeCell ref="E95:L95"/>
    <mergeCell ref="M95:M96"/>
    <mergeCell ref="B123:B124"/>
    <mergeCell ref="D123:D124"/>
    <mergeCell ref="E123:L123"/>
    <mergeCell ref="M123:M124"/>
    <mergeCell ref="B39:B40"/>
    <mergeCell ref="D39:D40"/>
    <mergeCell ref="E39:L39"/>
    <mergeCell ref="M39:M40"/>
    <mergeCell ref="B67:B68"/>
    <mergeCell ref="D67:D68"/>
    <mergeCell ref="E67:L67"/>
    <mergeCell ref="M67:M68"/>
    <mergeCell ref="B11:B12"/>
    <mergeCell ref="D11:D12"/>
    <mergeCell ref="E11:L11"/>
    <mergeCell ref="M11:M12"/>
  </mergeCells>
  <conditionalFormatting sqref="C4">
    <cfRule type="containsText" dxfId="41" priority="1" operator="containsText" text="NOT OK">
      <formula>NOT(ISERROR(SEARCH("NOT OK",C4)))</formula>
    </cfRule>
    <cfRule type="containsText" dxfId="40" priority="2" operator="containsText" text="OK">
      <formula>NOT(ISERROR(SEARCH("OK",C4)))</formula>
    </cfRule>
  </conditionalFormatting>
  <conditionalFormatting sqref="F5:G5">
    <cfRule type="containsText" dxfId="39" priority="3" operator="containsText" text="NOT OK">
      <formula>NOT(ISERROR(SEARCH("NOT OK",F5)))</formula>
    </cfRule>
    <cfRule type="containsText" dxfId="38" priority="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6A39-547E-456A-B781-E66DD3DF9333}">
  <sheetPr codeName="Sheet20">
    <tabColor theme="5" tint="-0.249977111117893"/>
  </sheetPr>
  <dimension ref="B6"/>
  <sheetViews>
    <sheetView zoomScaleNormal="100" workbookViewId="0">
      <selection activeCell="W36" sqref="W36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220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09F0-AE28-4375-A363-E19E00B1F42D}">
  <sheetPr codeName="Sheet17">
    <tabColor theme="5" tint="0.39997558519241921"/>
  </sheetPr>
  <dimension ref="A1:AI25"/>
  <sheetViews>
    <sheetView zoomScale="85" zoomScaleNormal="85" workbookViewId="0">
      <selection activeCell="B13" sqref="B13:B25"/>
    </sheetView>
  </sheetViews>
  <sheetFormatPr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bestFit="1" customWidth="1"/>
    <col min="8" max="8" width="13.42578125" bestFit="1" customWidth="1"/>
    <col min="9" max="9" width="19" bestFit="1" customWidth="1"/>
    <col min="10" max="10" width="21.140625" customWidth="1"/>
    <col min="11" max="11" width="19" bestFit="1" customWidth="1"/>
    <col min="12" max="12" width="20.42578125" customWidth="1"/>
    <col min="13" max="13" width="17.28515625" customWidth="1"/>
    <col min="14" max="14" width="21.28515625" customWidth="1"/>
    <col min="15" max="15" width="7.42578125" customWidth="1"/>
    <col min="16" max="16" width="17.28515625" hidden="1" customWidth="1"/>
    <col min="17" max="17" width="15" hidden="1" customWidth="1"/>
    <col min="18" max="19" width="14.42578125" hidden="1" customWidth="1"/>
    <col min="20" max="20" width="14.7109375" hidden="1" customWidth="1"/>
    <col min="21" max="21" width="14.28515625" bestFit="1" customWidth="1"/>
  </cols>
  <sheetData>
    <row r="1" spans="1:35" s="20" customFormat="1" ht="18" x14ac:dyDescent="0.25">
      <c r="A1" s="37" t="s">
        <v>187</v>
      </c>
      <c r="K1" s="21"/>
      <c r="L1" s="21"/>
      <c r="M1" s="21"/>
      <c r="N1" s="21"/>
    </row>
    <row r="2" spans="1:35" s="23" customFormat="1" ht="11.25" x14ac:dyDescent="0.2">
      <c r="A2" s="22" t="s">
        <v>186</v>
      </c>
      <c r="C2" s="24"/>
      <c r="T2" s="28"/>
    </row>
    <row r="3" spans="1:35" s="23" customFormat="1" ht="11.25" x14ac:dyDescent="0.2">
      <c r="A3" s="22"/>
      <c r="C3" s="24"/>
      <c r="D3" s="24"/>
      <c r="E3" s="25"/>
      <c r="F3" s="26"/>
      <c r="K3" s="27"/>
      <c r="L3" s="27"/>
      <c r="M3" s="27"/>
      <c r="N3" s="27"/>
      <c r="T3" s="28"/>
    </row>
    <row r="4" spans="1:35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</row>
    <row r="5" spans="1:35" s="22" customFormat="1" ht="11.25" x14ac:dyDescent="0.2">
      <c r="F5" s="29"/>
      <c r="G5" s="30"/>
      <c r="H5" s="24"/>
      <c r="I5" s="31"/>
    </row>
    <row r="6" spans="1:35" s="34" customFormat="1" x14ac:dyDescent="0.25">
      <c r="A6" s="32"/>
      <c r="B6" s="33" t="s">
        <v>188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</row>
    <row r="8" spans="1:35" ht="15" customHeight="1" x14ac:dyDescent="0.25">
      <c r="C8">
        <v>2023</v>
      </c>
      <c r="Q8">
        <v>2025</v>
      </c>
    </row>
    <row r="9" spans="1:35" ht="20.100000000000001" customHeight="1" x14ac:dyDescent="0.25">
      <c r="C9" s="102" t="s">
        <v>10</v>
      </c>
      <c r="Q9" s="102" t="s">
        <v>10</v>
      </c>
    </row>
    <row r="10" spans="1:35" ht="15" customHeight="1" thickBot="1" x14ac:dyDescent="0.3">
      <c r="C10" s="117"/>
    </row>
    <row r="11" spans="1:35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P11" s="138" t="s">
        <v>143</v>
      </c>
      <c r="R11" s="142" t="s">
        <v>131</v>
      </c>
      <c r="S11" s="143"/>
      <c r="T11" s="144"/>
    </row>
    <row r="12" spans="1:35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P12" s="139"/>
      <c r="R12" s="10" t="s">
        <v>193</v>
      </c>
      <c r="S12" s="10" t="s">
        <v>195</v>
      </c>
      <c r="T12" s="10" t="s">
        <v>194</v>
      </c>
    </row>
    <row r="13" spans="1:35" ht="15.75" customHeight="1" thickBot="1" x14ac:dyDescent="0.3">
      <c r="B13" s="69" t="s">
        <v>245</v>
      </c>
      <c r="D13" s="125">
        <v>0.15</v>
      </c>
      <c r="E13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 cm="1">
        <f t="array" ref="H13"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 cm="1">
        <f t="array" ref="I13"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17000</v>
      </c>
      <c r="J13" s="106">
        <f t="shared" ref="J13:K15" ca="1" si="0">IF($G13&lt;=0,0,E13/(H13*$G13))</f>
        <v>0.61895102685624015</v>
      </c>
      <c r="K13" s="106">
        <f t="shared" ca="1" si="0"/>
        <v>2.8961116993174899E-2</v>
      </c>
      <c r="L13" s="130">
        <f>VLOOKUP(B13,'Base Stations Parameters'!$B:$D,3,0)</f>
        <v>175000</v>
      </c>
      <c r="M13">
        <f ca="1">ROUNDUP(MAX(E13/H13-G13,F13/I13-G13,0),0)</f>
        <v>0</v>
      </c>
      <c r="N13" s="130">
        <f ca="1">M13*L13</f>
        <v>0</v>
      </c>
      <c r="P13" s="69" t="s">
        <v>169</v>
      </c>
      <c r="R13">
        <f>VLOOKUP(P13,'Base Stations Parameters'!$B:$G,4,0)</f>
        <v>1052.5727478975009</v>
      </c>
      <c r="S13">
        <f t="shared" ref="S13" ca="1" si="1">ROUNDUP(IF(OR(K13&gt;1,J13&gt;1),MAX(R13*J13,R13*K13),0),0)</f>
        <v>0</v>
      </c>
      <c r="T13">
        <f ca="1">S13*R13</f>
        <v>0</v>
      </c>
    </row>
    <row r="14" spans="1:35" ht="15.75" customHeight="1" thickBot="1" x14ac:dyDescent="0.3">
      <c r="B14" s="69" t="s">
        <v>169</v>
      </c>
      <c r="D14" s="125">
        <v>0.15</v>
      </c>
      <c r="E14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)*D14,0)</f>
        <v>489745</v>
      </c>
      <c r="F14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)*D14</f>
        <v>155825.28998177755</v>
      </c>
      <c r="G14" s="105">
        <f>INDEX('Sites per Region'!$A:$Z, MATCH(B14,'Sites per Region'!$B:$B,0), MATCH(C$9,'Sites per Region'!$8:$8, 0))</f>
        <v>316.5</v>
      </c>
      <c r="H14" s="105" cm="1">
        <f t="array" ref="H14"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 cm="1">
        <f t="array" ref="I14"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0"/>
        <v>0.61895102685624015</v>
      </c>
      <c r="K14" s="106">
        <f t="shared" ca="1" si="0"/>
        <v>2.8961116993174899E-2</v>
      </c>
      <c r="L14" s="130">
        <f>VLOOKUP(B14,'Base Stations Parameters'!$B:$D,3,0)</f>
        <v>145000</v>
      </c>
      <c r="M14">
        <f ca="1">ROUNDUP(MAX(E14/H14-G14,F14/I14-G14,0),0)</f>
        <v>0</v>
      </c>
      <c r="N14" s="130">
        <f ca="1">M14*L14</f>
        <v>0</v>
      </c>
      <c r="P14" s="69" t="s">
        <v>169</v>
      </c>
      <c r="R14">
        <f>VLOOKUP(P14,'Base Stations Parameters'!$B:$G,4,0)</f>
        <v>1052.5727478975009</v>
      </c>
      <c r="S14">
        <f t="shared" ref="S14:S19" ca="1" si="2">ROUNDUP(IF(OR(K14&gt;1,J14&gt;1),MAX(R14*J14,R14*K14),0),0)</f>
        <v>0</v>
      </c>
      <c r="T14">
        <f ca="1">S14*R14</f>
        <v>0</v>
      </c>
    </row>
    <row r="15" spans="1:35" ht="15.75" customHeight="1" thickBot="1" x14ac:dyDescent="0.3">
      <c r="B15" s="69" t="s">
        <v>246</v>
      </c>
      <c r="D15" s="125">
        <v>0.15</v>
      </c>
      <c r="E15" s="123">
        <f t="shared" ref="E15:E16" ca="1" si="3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)*D15,0)</f>
        <v>489745</v>
      </c>
      <c r="F15" s="122">
        <f t="shared" ref="F15:F19" ca="1" si="4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)*D15</f>
        <v>155825.28998177755</v>
      </c>
      <c r="G15" s="105">
        <f>INDEX('Sites per Region'!$A:$Z, MATCH(B15,'Sites per Region'!$B:$B,0), MATCH(C$9,'Sites per Region'!$8:$8, 0))</f>
        <v>316</v>
      </c>
      <c r="H15" s="105" cm="1">
        <f t="array" ref="H15"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 cm="1">
        <f t="array" ref="I15"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12000</v>
      </c>
      <c r="J15" s="106">
        <f t="shared" ca="1" si="0"/>
        <v>1.0332172995780591</v>
      </c>
      <c r="K15" s="106">
        <f t="shared" ca="1" si="0"/>
        <v>4.1093167189287329E-2</v>
      </c>
      <c r="L15" s="130">
        <f>VLOOKUP(B15,'Base Stations Parameters'!$B:$D,3,0)</f>
        <v>145000</v>
      </c>
      <c r="M15">
        <f ca="1">ROUNDUP(MAX(E15/H15-G15,F15/I15-G15,0),0)</f>
        <v>11</v>
      </c>
      <c r="N15" s="130">
        <f t="shared" ref="N15:N19" ca="1" si="5">M15*L15</f>
        <v>1595000</v>
      </c>
      <c r="P15" s="69" t="s">
        <v>170</v>
      </c>
      <c r="R15">
        <f>VLOOKUP(B15,'Base Stations Parameters'!$B:$G,4,0)</f>
        <v>1052.5727478975009</v>
      </c>
      <c r="S15">
        <f t="shared" ca="1" si="2"/>
        <v>1088</v>
      </c>
      <c r="T15">
        <f t="shared" ref="T15:T19" ca="1" si="6">S15*R15</f>
        <v>1145199.1497124811</v>
      </c>
    </row>
    <row r="16" spans="1:35" ht="15.75" customHeight="1" thickBot="1" x14ac:dyDescent="0.3">
      <c r="B16" s="69" t="s">
        <v>170</v>
      </c>
      <c r="D16" s="125">
        <v>0.15</v>
      </c>
      <c r="E16" s="123">
        <f t="shared" ca="1" si="3"/>
        <v>489745</v>
      </c>
      <c r="F16" s="122">
        <f t="shared" ca="1" si="4"/>
        <v>155825.28998177755</v>
      </c>
      <c r="G16" s="105">
        <f>INDEX('Sites per Region'!$A:$Z, MATCH(B16,'Sites per Region'!$B:$B,0), MATCH(C$9,'Sites per Region'!$8:$8, 0))</f>
        <v>316</v>
      </c>
      <c r="H16" s="105" cm="1">
        <f t="array" ref="H16"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 cm="1">
        <f t="array" ref="I16"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ref="J16:J19" ca="1" si="7">IF($G16&lt;=0,0,E16/(H16*$G16))</f>
        <v>1.0332172995780591</v>
      </c>
      <c r="K16" s="106">
        <f t="shared" ref="K16:K19" ca="1" si="8">IF($G16&lt;=0,0,F16/(I16*$G16))</f>
        <v>4.1093167189287329E-2</v>
      </c>
      <c r="L16" s="130">
        <f>VLOOKUP(B16,'Base Stations Parameters'!$B:$D,3,0)</f>
        <v>100000</v>
      </c>
      <c r="M16">
        <f t="shared" ref="M16:M19" ca="1" si="9">ROUNDUP(MAX(E16/H16-G16,F16/I16-G16,0),0)</f>
        <v>11</v>
      </c>
      <c r="N16" s="130">
        <f t="shared" ca="1" si="5"/>
        <v>1100000</v>
      </c>
      <c r="P16" s="69" t="s">
        <v>171</v>
      </c>
      <c r="R16">
        <f>VLOOKUP(B16,'Base Stations Parameters'!$B:$G,4,0)</f>
        <v>526.28637394875045</v>
      </c>
      <c r="S16">
        <f t="shared" ca="1" si="2"/>
        <v>544</v>
      </c>
      <c r="T16">
        <f t="shared" ca="1" si="6"/>
        <v>286299.78742812027</v>
      </c>
    </row>
    <row r="17" spans="2:20" ht="15.75" customHeight="1" thickBot="1" x14ac:dyDescent="0.3">
      <c r="B17" s="69" t="s">
        <v>247</v>
      </c>
      <c r="D17" s="125">
        <v>7.4999999999999997E-2</v>
      </c>
      <c r="E17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)*D17,0)</f>
        <v>244872</v>
      </c>
      <c r="F17" s="122">
        <f t="shared" ca="1" si="4"/>
        <v>77912.644990888773</v>
      </c>
      <c r="G17" s="105">
        <f>INDEX('Sites per Region'!$A:$Z, MATCH(B17,'Sites per Region'!$B:$B,0), MATCH(C$9,'Sites per Region'!$8:$8, 0))</f>
        <v>350.5</v>
      </c>
      <c r="H17" s="105" cm="1">
        <f t="array" ref="H17"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 cm="1">
        <f t="array" ref="I17"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5000</v>
      </c>
      <c r="J17" s="106">
        <f t="shared" ca="1" si="7"/>
        <v>0.93151497860199717</v>
      </c>
      <c r="K17" s="106">
        <f t="shared" ca="1" si="8"/>
        <v>4.445799999480101E-2</v>
      </c>
      <c r="L17" s="130">
        <f>VLOOKUP(B17,'Base Stations Parameters'!$B:$D,3,0)</f>
        <v>100000</v>
      </c>
      <c r="M17">
        <f t="shared" ca="1" si="9"/>
        <v>0</v>
      </c>
      <c r="N17" s="130">
        <f t="shared" ca="1" si="5"/>
        <v>0</v>
      </c>
      <c r="P17" s="69" t="s">
        <v>172</v>
      </c>
      <c r="R17">
        <f>VLOOKUP(B17,'Base Stations Parameters'!$B:$G,4,0)</f>
        <v>526.28637394875045</v>
      </c>
      <c r="S17">
        <f t="shared" ca="1" si="2"/>
        <v>0</v>
      </c>
      <c r="T17">
        <f t="shared" ca="1" si="6"/>
        <v>0</v>
      </c>
    </row>
    <row r="18" spans="2:20" ht="15.75" customHeight="1" thickBot="1" x14ac:dyDescent="0.3">
      <c r="B18" s="69" t="s">
        <v>171</v>
      </c>
      <c r="D18" s="125">
        <v>7.4999999999999997E-2</v>
      </c>
      <c r="E18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)*D18,0)</f>
        <v>244872</v>
      </c>
      <c r="F18" s="122">
        <f t="shared" ca="1" si="4"/>
        <v>77912.644990888773</v>
      </c>
      <c r="G18" s="105">
        <f>INDEX('Sites per Region'!$A:$Z, MATCH(B18,'Sites per Region'!$B:$B,0), MATCH(C$9,'Sites per Region'!$8:$8, 0))</f>
        <v>350.5</v>
      </c>
      <c r="H18" s="105" cm="1">
        <f t="array" ref="H18"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 cm="1">
        <f t="array" ref="I18"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7"/>
        <v>0.93151497860199717</v>
      </c>
      <c r="K18" s="106">
        <f t="shared" ca="1" si="8"/>
        <v>4.445799999480101E-2</v>
      </c>
      <c r="L18" s="130">
        <f>VLOOKUP(B18,'Base Stations Parameters'!$B:$D,3,0)</f>
        <v>95000</v>
      </c>
      <c r="M18">
        <f t="shared" ca="1" si="9"/>
        <v>0</v>
      </c>
      <c r="N18" s="130">
        <f t="shared" ca="1" si="5"/>
        <v>0</v>
      </c>
      <c r="P18" s="69" t="s">
        <v>173</v>
      </c>
      <c r="R18">
        <f>VLOOKUP(B18,'Base Stations Parameters'!$B:$G,4,0)</f>
        <v>254.55962018376067</v>
      </c>
      <c r="S18">
        <f t="shared" ca="1" si="2"/>
        <v>0</v>
      </c>
      <c r="T18">
        <f t="shared" ca="1" si="6"/>
        <v>0</v>
      </c>
    </row>
    <row r="19" spans="2:20" ht="15.75" customHeight="1" thickBot="1" x14ac:dyDescent="0.3">
      <c r="B19" s="69" t="s">
        <v>248</v>
      </c>
      <c r="D19" s="125">
        <v>0.05</v>
      </c>
      <c r="E19" s="123">
        <f t="shared" ref="E19" ca="1" si="1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)*D19,0)</f>
        <v>163248</v>
      </c>
      <c r="F19" s="122">
        <f t="shared" ca="1" si="4"/>
        <v>51941.763327259185</v>
      </c>
      <c r="G19" s="105">
        <f>INDEX('Sites per Region'!$A:$Z, MATCH(B19,'Sites per Region'!$B:$B,0), MATCH(C$9,'Sites per Region'!$8:$8, 0))</f>
        <v>340.5</v>
      </c>
      <c r="H19" s="105" cm="1">
        <f t="array" ref="H19"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 cm="1">
        <f t="array" ref="I19"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2000</v>
      </c>
      <c r="J19" s="106">
        <f t="shared" ca="1" si="7"/>
        <v>0.31962408223201177</v>
      </c>
      <c r="K19" s="106">
        <f t="shared" ca="1" si="8"/>
        <v>7.6272780216239622E-2</v>
      </c>
      <c r="L19" s="130">
        <f>VLOOKUP(B19,'Base Stations Parameters'!$B:$D,3,0)</f>
        <v>95000</v>
      </c>
      <c r="M19">
        <f t="shared" ca="1" si="9"/>
        <v>0</v>
      </c>
      <c r="N19" s="130">
        <f t="shared" ca="1" si="5"/>
        <v>0</v>
      </c>
      <c r="P19" s="69" t="s">
        <v>174</v>
      </c>
      <c r="R19">
        <f>VLOOKUP(B19,'Base Stations Parameters'!$B:$G,4,0)</f>
        <v>254.55962018376067</v>
      </c>
      <c r="S19">
        <f t="shared" ca="1" si="2"/>
        <v>0</v>
      </c>
      <c r="T19">
        <f t="shared" ca="1" si="6"/>
        <v>0</v>
      </c>
    </row>
    <row r="20" spans="2:20" ht="15.75" customHeight="1" thickBot="1" x14ac:dyDescent="0.3">
      <c r="B20" s="69" t="s">
        <v>172</v>
      </c>
      <c r="D20" s="125">
        <v>0.05</v>
      </c>
      <c r="E20" s="123">
        <f t="shared" ref="E20:E24" ca="1" si="1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)*D20,0)</f>
        <v>163248</v>
      </c>
      <c r="F20" s="122">
        <f t="shared" ref="F20:F24" ca="1" si="12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)*D20</f>
        <v>51941.763327259185</v>
      </c>
      <c r="G20" s="105">
        <f>INDEX('Sites per Region'!$A:$Z, MATCH(B20,'Sites per Region'!$B:$B,0), MATCH(C$9,'Sites per Region'!$8:$8, 0))</f>
        <v>340.5</v>
      </c>
      <c r="H20" s="105" cm="1">
        <f t="array" ref="H20"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 cm="1">
        <f t="array" ref="I20"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ref="J20:J24" ca="1" si="13">IF($G20&lt;=0,0,E20/(H20*$G20))</f>
        <v>0.31962408223201177</v>
      </c>
      <c r="K20" s="106">
        <f t="shared" ref="K20:K24" ca="1" si="14">IF($G20&lt;=0,0,F20/(I20*$G20))</f>
        <v>7.6272780216239622E-2</v>
      </c>
      <c r="L20" s="130">
        <f>VLOOKUP(B20,'Base Stations Parameters'!$B:$D,3,0)</f>
        <v>80000</v>
      </c>
      <c r="M20">
        <f t="shared" ref="M20:M24" ca="1" si="15">ROUNDUP(MAX(E20/H20-G20,F20/I20-G20,0),0)</f>
        <v>0</v>
      </c>
      <c r="N20" s="130">
        <f t="shared" ref="N20:N24" ca="1" si="16">M20*L20</f>
        <v>0</v>
      </c>
      <c r="P20" s="114" t="s">
        <v>182</v>
      </c>
      <c r="R20" s="113">
        <f>SUM(R14:R19)</f>
        <v>3666.8374840600236</v>
      </c>
      <c r="S20" s="113">
        <f ca="1">SUM(S14:S19)</f>
        <v>1632</v>
      </c>
      <c r="T20" s="113">
        <f ca="1">SUM(T14:T19)</f>
        <v>1431498.9371406012</v>
      </c>
    </row>
    <row r="21" spans="2:20" ht="15.75" customHeight="1" thickBot="1" x14ac:dyDescent="0.3">
      <c r="B21" s="69" t="s">
        <v>249</v>
      </c>
      <c r="D21" s="125">
        <v>0.05</v>
      </c>
      <c r="E21" s="123">
        <f t="shared" ca="1" si="11"/>
        <v>163248</v>
      </c>
      <c r="F21" s="122">
        <f t="shared" ca="1" si="12"/>
        <v>51941.763327259185</v>
      </c>
      <c r="G21" s="105">
        <f>INDEX('Sites per Region'!$A:$Z, MATCH(B21,'Sites per Region'!$B:$B,0), MATCH(C$9,'Sites per Region'!$8:$8, 0))</f>
        <v>310.5</v>
      </c>
      <c r="H21" s="105" cm="1">
        <f t="array" ref="H21"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 cm="1">
        <f t="array" ref="I21"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1200</v>
      </c>
      <c r="J21" s="106">
        <f t="shared" ca="1" si="13"/>
        <v>0.65719806763285027</v>
      </c>
      <c r="K21" s="106">
        <f t="shared" ca="1" si="14"/>
        <v>0.13940355160295004</v>
      </c>
      <c r="L21" s="130">
        <f>VLOOKUP(B21,'Base Stations Parameters'!$B:$D,3,0)</f>
        <v>80000</v>
      </c>
      <c r="M21">
        <f t="shared" ca="1" si="15"/>
        <v>0</v>
      </c>
      <c r="N21" s="130">
        <f t="shared" ca="1" si="16"/>
        <v>0</v>
      </c>
    </row>
    <row r="22" spans="2:20" ht="15.75" customHeight="1" thickBot="1" x14ac:dyDescent="0.3">
      <c r="B22" s="69" t="s">
        <v>173</v>
      </c>
      <c r="D22" s="125">
        <v>0.05</v>
      </c>
      <c r="E22" s="123">
        <f t="shared" ca="1" si="11"/>
        <v>163248</v>
      </c>
      <c r="F22" s="122">
        <f t="shared" ca="1" si="12"/>
        <v>51941.763327259185</v>
      </c>
      <c r="G22" s="105">
        <f>INDEX('Sites per Region'!$A:$Z, MATCH(B22,'Sites per Region'!$B:$B,0), MATCH(C$9,'Sites per Region'!$8:$8, 0))</f>
        <v>310.5</v>
      </c>
      <c r="H22" s="105" cm="1">
        <f t="array" ref="H22"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 cm="1">
        <f t="array" ref="I22"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13"/>
        <v>0.65719806763285027</v>
      </c>
      <c r="K22" s="106">
        <f t="shared" ca="1" si="14"/>
        <v>0.13940355160295004</v>
      </c>
      <c r="L22" s="130">
        <f>VLOOKUP(B22,'Base Stations Parameters'!$B:$D,3,0)</f>
        <v>60000</v>
      </c>
      <c r="M22">
        <f t="shared" ca="1" si="15"/>
        <v>0</v>
      </c>
      <c r="N22" s="130">
        <f t="shared" ca="1" si="16"/>
        <v>0</v>
      </c>
    </row>
    <row r="23" spans="2:20" ht="15.75" customHeight="1" thickBot="1" x14ac:dyDescent="0.3">
      <c r="B23" s="69" t="s">
        <v>250</v>
      </c>
      <c r="D23" s="125">
        <v>2.5000000000000001E-2</v>
      </c>
      <c r="E23" s="123">
        <f t="shared" ca="1" si="11"/>
        <v>81624</v>
      </c>
      <c r="F23" s="122">
        <f t="shared" ca="1" si="12"/>
        <v>25970.881663629592</v>
      </c>
      <c r="G23" s="105">
        <f>INDEX('Sites per Region'!$A:$Z, MATCH(B23,'Sites per Region'!$B:$B,0), MATCH(C$9,'Sites per Region'!$8:$8, 0))</f>
        <v>327.5</v>
      </c>
      <c r="H23" s="105" cm="1">
        <f t="array" ref="H23"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 cm="1">
        <f t="array" ref="I23"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300</v>
      </c>
      <c r="J23" s="106">
        <f t="shared" ca="1" si="13"/>
        <v>0.62308396946564881</v>
      </c>
      <c r="K23" s="106">
        <f t="shared" ca="1" si="14"/>
        <v>0.26433467342116634</v>
      </c>
      <c r="L23" s="130">
        <f>VLOOKUP(B23,'Base Stations Parameters'!$B:$D,3,0)</f>
        <v>60000</v>
      </c>
      <c r="M23">
        <f t="shared" ca="1" si="15"/>
        <v>0</v>
      </c>
      <c r="N23" s="130">
        <f t="shared" ca="1" si="16"/>
        <v>0</v>
      </c>
    </row>
    <row r="24" spans="2:20" ht="15.75" customHeight="1" thickBot="1" x14ac:dyDescent="0.3">
      <c r="B24" s="69" t="s">
        <v>174</v>
      </c>
      <c r="D24" s="125">
        <v>2.5000000000000001E-2</v>
      </c>
      <c r="E24" s="123">
        <f t="shared" ca="1" si="11"/>
        <v>81624</v>
      </c>
      <c r="F24" s="122">
        <f t="shared" ca="1" si="12"/>
        <v>25970.881663629592</v>
      </c>
      <c r="G24" s="105">
        <f>INDEX('Sites per Region'!$A:$Z, MATCH(B24,'Sites per Region'!$B:$B,0), MATCH(C$9,'Sites per Region'!$8:$8, 0))</f>
        <v>327.5</v>
      </c>
      <c r="H24" s="105" cm="1">
        <f t="array" ref="H24"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 cm="1">
        <f t="array" ref="I24"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13"/>
        <v>0.62308396946564881</v>
      </c>
      <c r="K24" s="106">
        <f t="shared" ca="1" si="14"/>
        <v>0.26433467342116634</v>
      </c>
      <c r="L24" s="130">
        <f>VLOOKUP(B24,'Base Stations Parameters'!$B:$D,3,0)</f>
        <v>0</v>
      </c>
      <c r="M24">
        <f t="shared" ca="1" si="15"/>
        <v>0</v>
      </c>
      <c r="N24" s="130">
        <f t="shared" ca="1" si="16"/>
        <v>0</v>
      </c>
    </row>
    <row r="25" spans="2:20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2695000</v>
      </c>
    </row>
  </sheetData>
  <mergeCells count="9">
    <mergeCell ref="R11:T11"/>
    <mergeCell ref="D11:D12"/>
    <mergeCell ref="B11:B12"/>
    <mergeCell ref="E11:F11"/>
    <mergeCell ref="P11:P12"/>
    <mergeCell ref="G11:G12"/>
    <mergeCell ref="H11:I11"/>
    <mergeCell ref="J11:K11"/>
    <mergeCell ref="L11:N11"/>
  </mergeCells>
  <conditionalFormatting sqref="C4:D4">
    <cfRule type="containsText" dxfId="37" priority="4" operator="containsText" text="NOT OK">
      <formula>NOT(ISERROR(SEARCH("NOT OK",C4)))</formula>
    </cfRule>
    <cfRule type="containsText" dxfId="36" priority="5" operator="containsText" text="OK">
      <formula>NOT(ISERROR(SEARCH("OK",C4)))</formula>
    </cfRule>
  </conditionalFormatting>
  <conditionalFormatting sqref="G5:H5">
    <cfRule type="containsText" dxfId="35" priority="6" operator="containsText" text="NOT OK">
      <formula>NOT(ISERROR(SEARCH("NOT OK",G5)))</formula>
    </cfRule>
    <cfRule type="containsText" dxfId="34" priority="7" operator="containsText" text="OK">
      <formula>NOT(ISERROR(SEARCH("OK",G5)))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5AFA-2DA8-4B8A-A389-96CD5FB61BB9}">
  <sheetPr codeName="Sheet21">
    <tabColor theme="7" tint="-0.249977111117893"/>
  </sheetPr>
  <dimension ref="B6"/>
  <sheetViews>
    <sheetView zoomScaleNormal="100" workbookViewId="0">
      <selection activeCell="T29" sqref="T29"/>
    </sheetView>
  </sheetViews>
  <sheetFormatPr defaultColWidth="8.85546875" defaultRowHeight="15" x14ac:dyDescent="0.25"/>
  <cols>
    <col min="1" max="1" width="8.85546875" style="14"/>
    <col min="2" max="2" width="8.85546875" style="14" customWidth="1"/>
    <col min="3" max="3" width="8.85546875" style="14"/>
    <col min="4" max="4" width="8.85546875" style="14" customWidth="1"/>
    <col min="5" max="12" width="8.85546875" style="14"/>
    <col min="13" max="25" width="8.85546875" style="14" customWidth="1"/>
    <col min="26" max="16384" width="8.85546875" style="14"/>
  </cols>
  <sheetData>
    <row r="6" spans="2:2" ht="33.75" x14ac:dyDescent="0.5">
      <c r="B6" s="15" t="s">
        <v>57</v>
      </c>
    </row>
  </sheetData>
  <pageMargins left="0.7" right="0.7" top="0.75" bottom="0.75" header="0.3" footer="0.3"/>
  <cellWatches>
    <cellWatch r="A1"/>
  </cellWatche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11C4-D1E2-4E51-8C3E-3F856DE1B027}">
  <sheetPr codeName="Sheet16">
    <tabColor theme="7" tint="0.39997558519241921"/>
  </sheetPr>
  <dimension ref="A1:AR196"/>
  <sheetViews>
    <sheetView tabSelected="1" zoomScale="60" zoomScaleNormal="60" workbookViewId="0">
      <selection activeCell="B7" sqref="B7"/>
    </sheetView>
  </sheetViews>
  <sheetFormatPr defaultColWidth="9.140625"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customWidth="1"/>
    <col min="8" max="8" width="13.42578125" customWidth="1"/>
    <col min="9" max="9" width="19" customWidth="1"/>
    <col min="10" max="10" width="21.140625" customWidth="1"/>
    <col min="11" max="11" width="19" customWidth="1"/>
    <col min="12" max="12" width="20.42578125" customWidth="1"/>
    <col min="13" max="13" width="17.28515625" customWidth="1"/>
    <col min="14" max="14" width="21.28515625" customWidth="1"/>
    <col min="15" max="16" width="9.140625" customWidth="1"/>
    <col min="17" max="17" width="37.42578125" customWidth="1"/>
    <col min="18" max="18" width="15" customWidth="1"/>
    <col min="19" max="19" width="16.42578125" customWidth="1"/>
    <col min="20" max="20" width="13.7109375" customWidth="1"/>
    <col min="21" max="21" width="19.85546875" customWidth="1"/>
    <col min="22" max="22" width="16.7109375" customWidth="1"/>
    <col min="23" max="23" width="13.42578125" customWidth="1"/>
    <col min="24" max="24" width="19" customWidth="1"/>
    <col min="25" max="25" width="21.140625" customWidth="1"/>
    <col min="26" max="26" width="19" customWidth="1"/>
    <col min="27" max="27" width="20.42578125" customWidth="1"/>
    <col min="28" max="28" width="17.28515625" customWidth="1"/>
    <col min="29" max="29" width="21.28515625" customWidth="1"/>
    <col min="30" max="31" width="9.140625" customWidth="1"/>
    <col min="32" max="32" width="37.42578125" customWidth="1"/>
    <col min="33" max="33" width="15" customWidth="1"/>
    <col min="34" max="34" width="16.42578125" customWidth="1"/>
    <col min="35" max="35" width="13.7109375" customWidth="1"/>
    <col min="36" max="36" width="19.85546875" customWidth="1"/>
    <col min="37" max="37" width="16.7109375" customWidth="1"/>
    <col min="38" max="38" width="13.42578125" customWidth="1"/>
    <col min="39" max="39" width="19" customWidth="1"/>
    <col min="40" max="40" width="21.140625" customWidth="1"/>
    <col min="41" max="41" width="19" customWidth="1"/>
    <col min="42" max="42" width="20.42578125" customWidth="1"/>
    <col min="43" max="43" width="17.28515625" customWidth="1"/>
    <col min="44" max="44" width="21.28515625" customWidth="1"/>
    <col min="45" max="55" width="9.140625" customWidth="1"/>
  </cols>
  <sheetData>
    <row r="1" spans="1:44" s="20" customFormat="1" ht="18" x14ac:dyDescent="0.25">
      <c r="A1" s="37" t="s">
        <v>140</v>
      </c>
      <c r="J1" s="21"/>
    </row>
    <row r="2" spans="1:44" s="23" customFormat="1" ht="11.25" x14ac:dyDescent="0.2">
      <c r="A2" s="22" t="s">
        <v>56</v>
      </c>
      <c r="C2" s="24"/>
      <c r="D2" s="25"/>
      <c r="E2" s="26"/>
      <c r="J2" s="27"/>
      <c r="Q2" s="28"/>
    </row>
    <row r="3" spans="1:44" s="23" customFormat="1" ht="11.25" x14ac:dyDescent="0.2">
      <c r="A3" s="22"/>
      <c r="C3" s="24"/>
      <c r="D3" s="25"/>
      <c r="E3" s="26"/>
      <c r="J3" s="27"/>
      <c r="Q3" s="28"/>
    </row>
    <row r="4" spans="1:4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44" s="22" customFormat="1" ht="11.25" x14ac:dyDescent="0.2">
      <c r="E5" s="29"/>
      <c r="F5" s="30"/>
      <c r="G5" s="24"/>
      <c r="H5" s="31"/>
    </row>
    <row r="6" spans="1:44" s="34" customFormat="1" x14ac:dyDescent="0.25">
      <c r="A6" s="32"/>
      <c r="B6" s="33" t="s">
        <v>141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44" ht="15" customHeight="1" x14ac:dyDescent="0.25">
      <c r="C8">
        <v>2023</v>
      </c>
      <c r="R8">
        <v>2025</v>
      </c>
      <c r="AG8">
        <v>2030</v>
      </c>
    </row>
    <row r="9" spans="1:44" ht="20.100000000000001" customHeight="1" x14ac:dyDescent="0.25">
      <c r="C9" s="102" t="s">
        <v>10</v>
      </c>
      <c r="R9" s="102" t="s">
        <v>10</v>
      </c>
      <c r="AG9" s="102" t="s">
        <v>10</v>
      </c>
    </row>
    <row r="10" spans="1:44" ht="15" customHeight="1" thickBot="1" x14ac:dyDescent="0.3"/>
    <row r="11" spans="1:44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Q11" s="138" t="s">
        <v>143</v>
      </c>
      <c r="R11" s="117"/>
      <c r="S11" s="152" t="s">
        <v>203</v>
      </c>
      <c r="T11" s="142" t="s">
        <v>218</v>
      </c>
      <c r="U11" s="144"/>
      <c r="V11" s="152" t="s">
        <v>215</v>
      </c>
      <c r="W11" s="142" t="s">
        <v>217</v>
      </c>
      <c r="X11" s="144"/>
      <c r="Y11" s="142" t="s">
        <v>184</v>
      </c>
      <c r="Z11" s="144"/>
      <c r="AA11" s="142" t="s">
        <v>131</v>
      </c>
      <c r="AB11" s="143"/>
      <c r="AC11" s="144"/>
      <c r="AF11" s="138" t="s">
        <v>143</v>
      </c>
      <c r="AG11" s="117"/>
      <c r="AH11" s="152" t="s">
        <v>203</v>
      </c>
      <c r="AI11" s="142" t="s">
        <v>218</v>
      </c>
      <c r="AJ11" s="144"/>
      <c r="AK11" s="152" t="s">
        <v>215</v>
      </c>
      <c r="AL11" s="142" t="s">
        <v>217</v>
      </c>
      <c r="AM11" s="144"/>
      <c r="AN11" s="142" t="s">
        <v>184</v>
      </c>
      <c r="AO11" s="144"/>
      <c r="AP11" s="142" t="s">
        <v>131</v>
      </c>
      <c r="AQ11" s="143"/>
      <c r="AR11" s="144"/>
    </row>
    <row r="12" spans="1:44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Q12" s="139"/>
      <c r="R12" s="117"/>
      <c r="S12" s="153"/>
      <c r="T12" s="10" t="s">
        <v>185</v>
      </c>
      <c r="U12" s="10" t="s">
        <v>204</v>
      </c>
      <c r="V12" s="153"/>
      <c r="W12" s="10" t="s">
        <v>185</v>
      </c>
      <c r="X12" s="10" t="s">
        <v>204</v>
      </c>
      <c r="Y12" s="10" t="s">
        <v>185</v>
      </c>
      <c r="Z12" s="10" t="s">
        <v>204</v>
      </c>
      <c r="AA12" s="10" t="s">
        <v>243</v>
      </c>
      <c r="AB12" s="10" t="s">
        <v>195</v>
      </c>
      <c r="AC12" s="10" t="s">
        <v>244</v>
      </c>
      <c r="AF12" s="139"/>
      <c r="AG12" s="117"/>
      <c r="AH12" s="153"/>
      <c r="AI12" s="10" t="s">
        <v>185</v>
      </c>
      <c r="AJ12" s="10" t="s">
        <v>204</v>
      </c>
      <c r="AK12" s="153"/>
      <c r="AL12" s="10" t="s">
        <v>185</v>
      </c>
      <c r="AM12" s="10" t="s">
        <v>204</v>
      </c>
      <c r="AN12" s="10" t="s">
        <v>185</v>
      </c>
      <c r="AO12" s="10" t="s">
        <v>204</v>
      </c>
      <c r="AP12" s="10" t="s">
        <v>243</v>
      </c>
      <c r="AQ12" s="10" t="s">
        <v>195</v>
      </c>
      <c r="AR12" s="10" t="s">
        <v>244</v>
      </c>
    </row>
    <row r="13" spans="1:44" ht="15.75" customHeight="1" thickBot="1" x14ac:dyDescent="0.3">
      <c r="B13" s="69" t="s">
        <v>245</v>
      </c>
      <c r="D13" s="125">
        <v>0.15</v>
      </c>
      <c r="E13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>
        <f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>
        <f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17000</v>
      </c>
      <c r="J13" s="106">
        <f ca="1">IF($G13&lt;=0,0,E13/(H13*$G13))</f>
        <v>0.61895102685624015</v>
      </c>
      <c r="K13" s="106">
        <f ca="1">IF($G13&lt;=0,0,F13/(I13*$G13))</f>
        <v>2.8961116993174899E-2</v>
      </c>
      <c r="L13" s="130">
        <f>VLOOKUP(B13,'Base Stations Parameters'!$B:$D,3,0)</f>
        <v>175000</v>
      </c>
      <c r="M13">
        <f ca="1">ROUNDUP(MAX(E13/H13-G13,F13/I13-G13,0),0)</f>
        <v>0</v>
      </c>
      <c r="N13" s="130">
        <f ca="1">M13*L13</f>
        <v>0</v>
      </c>
      <c r="Q13" s="69" t="s">
        <v>245</v>
      </c>
      <c r="S13" s="125">
        <v>0.15</v>
      </c>
      <c r="T13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)*S13,0)</f>
        <v>588341</v>
      </c>
      <c r="U13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)*S13</f>
        <v>171825.81043438191</v>
      </c>
      <c r="V13" s="105">
        <f>INDEX('Sites per Region'!$A:$AO, MATCH(Q13,'Sites per Region'!$B:$B,0), MATCH(R$9,'Sites per Region'!$8:$8, 0))</f>
        <v>316.5</v>
      </c>
      <c r="W13" s="105">
        <f>_xlfn.LET(
_xlpm.data,'Base Stations Profiles'!$B:$T,
_xlpm.colSite,INDEX(_xlpm.data,,1),
_xlpm.colData,INDEX(_xlpm.data,,2),
_xlpm.rowRegion,MATCH(Q13,_xlpm.colSite,0),
_xlpm.rowUser,MATCH("Maximum Simultaneously Active Users per Site",_xlfn.DROP(_xlpm.colSite,_xlpm.rowRegion),0),
INDEX(_xlpm.colData,_xlpm.rowRegion+_xlpm.rowUser))</f>
        <v>2500</v>
      </c>
      <c r="X13" s="124">
        <f>_xlfn.LET(
    _xlpm.data, 'Base Stations Profiles'!$B:$U,
    _xlpm.colSite, INDEX(_xlpm.data,,1),
    _xlpm.colauto, INDEX(_xlpm.data,,3),
    _xlpm.colData, INDEX(_xlpm.data,,2),
    _xlpm.rowRegion, MATCH(Q13, _xlpm.colSite, 0),
    _xlpm.rowThroughput, MATCH("Maximum Throughput for Downlink per Site", _xlfn.DROP(_xlpm.colSite, _xlpm.rowRegion), 0),
    IF(INDEX(_xlpm.colauto, _xlpm.rowRegion + _xlpm.rowThroughput)='Model Configurator Sup'!$M$4,VLOOKUP(Q13,'Base Stations Parameters'!$B:$T,4,0),INDEX(_xlpm.colData, _xlpm.rowRegion + _xlpm.rowThroughput))
)</f>
        <v>17000</v>
      </c>
      <c r="Y13" s="106">
        <f ca="1">IF($V13&lt;=0,0,T13/(W13*$V13))</f>
        <v>0.74355892575039495</v>
      </c>
      <c r="Z13" s="106">
        <f ca="1">IF($V13&lt;=0,0,U13/(X13*$V13))</f>
        <v>3.1934915051460254E-2</v>
      </c>
      <c r="AA13" s="130">
        <f>VLOOKUP(Q13,'Base Stations Parameters'!$B:$S,3,0)</f>
        <v>175000</v>
      </c>
      <c r="AB13">
        <f ca="1">ROUNDUP(MAX(T13/W13-V13,U13/X13-V13,0),0)</f>
        <v>0</v>
      </c>
      <c r="AC13" s="130">
        <f ca="1">AB13*AA13</f>
        <v>0</v>
      </c>
      <c r="AF13" s="69" t="s">
        <v>245</v>
      </c>
      <c r="AH13" s="125">
        <v>0.15</v>
      </c>
      <c r="AI13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)*AH13,0)</f>
        <v>995742</v>
      </c>
      <c r="AJ13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)*AH13</f>
        <v>232580.6216835652</v>
      </c>
      <c r="AK13" s="105">
        <f>INDEX('Sites per Region'!$A:$BD, MATCH(AF13,'Sites per Region'!$B:$B,0), MATCH(AG$9,'Sites per Region'!$8:$8, 0))</f>
        <v>316.5</v>
      </c>
      <c r="AL13" s="105">
        <f>_xlfn.LET(
_xlpm.data,'Base Stations Profiles'!$B:$AI,
_xlpm.colSite,INDEX(_xlpm.data,,1),
_xlpm.colData,INDEX(_xlpm.data,,2),
_xlpm.rowRegion,MATCH(AF13,_xlpm.colSite,0),
_xlpm.rowUser,MATCH("Maximum Simultaneously Active Users per Site",_xlfn.DROP(_xlpm.colSite,_xlpm.rowRegion),0),
INDEX(_xlpm.colData,_xlpm.rowRegion+_xlpm.rowUser))</f>
        <v>2500</v>
      </c>
      <c r="AM13" s="124">
        <f>_xlfn.LET(
    _xlpm.data, 'Base Stations Profiles'!$B:$AJ,
    _xlpm.colSite, INDEX(_xlpm.data,,1),
    _xlpm.colauto, INDEX(_xlpm.data,,3),
    _xlpm.colData, INDEX(_xlpm.data,,2),
    _xlpm.rowRegion, MATCH(AF13, _xlpm.colSite, 0),
    _xlpm.rowThroughput, MATCH("Maximum Throughput for Downlink per Site", _xlfn.DROP(_xlpm.colSite, _xlpm.rowRegion), 0),
    IF(INDEX(_xlpm.colauto, _xlpm.rowRegion + _xlpm.rowThroughput)='Model Configurator Sup'!$M$4,VLOOKUP(AF13,'Base Stations Parameters'!$B:$AI,4,0),INDEX(_xlpm.colData, _xlpm.rowRegion + _xlpm.rowThroughput))
)</f>
        <v>17000</v>
      </c>
      <c r="AN13" s="106">
        <f ca="1">IF($AK13&lt;=0,0,AI13/(AL13*$AK13))</f>
        <v>1.2584417061611375</v>
      </c>
      <c r="AO13" s="106">
        <f ca="1">IF($AK13&lt;=0,0,AJ13/(AM13*$AK13))</f>
        <v>4.3226581485654718E-2</v>
      </c>
      <c r="AP13" s="130">
        <f>VLOOKUP(AF13,'Base Stations Parameters'!$B:$AH,3,0)</f>
        <v>175000</v>
      </c>
      <c r="AQ13">
        <f ca="1">ROUNDUP(MAX(AI13/AL13-AK13,AJ13/AM13-AK13,0),0)</f>
        <v>82</v>
      </c>
      <c r="AR13" s="130">
        <f ca="1">AQ13*AP13</f>
        <v>14350000</v>
      </c>
    </row>
    <row r="14" spans="1:44" ht="15.75" customHeight="1" thickBot="1" x14ac:dyDescent="0.3">
      <c r="B14" s="69" t="s">
        <v>169</v>
      </c>
      <c r="D14" s="125">
        <v>0.15</v>
      </c>
      <c r="E14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)*D14,0)</f>
        <v>489745</v>
      </c>
      <c r="F14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)*D14</f>
        <v>155825.28998177755</v>
      </c>
      <c r="G14" s="105">
        <f>INDEX('Sites per Region'!$A:$Z, MATCH(B14,'Sites per Region'!$B:$B,0), MATCH(C$9,'Sites per Region'!$8:$8, 0))</f>
        <v>316.5</v>
      </c>
      <c r="H14" s="105">
        <f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>
        <f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ca="1">IF($G14&lt;=0,0,E14/(H14*$G14))</f>
        <v>0.61895102685624015</v>
      </c>
      <c r="K14" s="106">
        <f ca="1">IF($G14&lt;=0,0,F14/(I14*$G14))</f>
        <v>2.8961116993174899E-2</v>
      </c>
      <c r="L14" s="130">
        <f>VLOOKUP(B14,'Base Stations Parameters'!$B:$D,3,0)</f>
        <v>145000</v>
      </c>
      <c r="M14">
        <f ca="1">ROUNDUP(MAX(E14/H14-G14,F14/I14-G14,0),0)</f>
        <v>0</v>
      </c>
      <c r="N14" s="130">
        <f ca="1">M14*L14</f>
        <v>0</v>
      </c>
      <c r="Q14" s="69" t="s">
        <v>169</v>
      </c>
      <c r="S14" s="125">
        <v>0.15</v>
      </c>
      <c r="T14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)*S14,0)</f>
        <v>588341</v>
      </c>
      <c r="U14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)*S14</f>
        <v>171825.81043438191</v>
      </c>
      <c r="V14" s="105">
        <f>INDEX('Sites per Region'!$A:$AO, MATCH(Q14,'Sites per Region'!$B:$B,0), MATCH(R$9,'Sites per Region'!$8:$8, 0))</f>
        <v>316.5</v>
      </c>
      <c r="W14" s="105">
        <f>_xlfn.LET(
_xlpm.data,'Base Stations Profiles'!$B:$T,
_xlpm.colSite,INDEX(_xlpm.data,,1),
_xlpm.colData,INDEX(_xlpm.data,,2),
_xlpm.rowRegion,MATCH(Q14,_xlpm.colSite,0),
_xlpm.rowUser,MATCH("Maximum Simultaneously Active Users per Site",_xlfn.DROP(_xlpm.colSite,_xlpm.rowRegion),0),
INDEX(_xlpm.colData,_xlpm.rowRegion+_xlpm.rowUser))</f>
        <v>2500</v>
      </c>
      <c r="X14" s="124">
        <f>_xlfn.LET(
    _xlpm.data, 'Base Stations Profiles'!$B:$U,
    _xlpm.colSite, INDEX(_xlpm.data,,1),
    _xlpm.colauto, INDEX(_xlpm.data,,3),
    _xlpm.colData, INDEX(_xlpm.data,,2),
    _xlpm.rowRegion, MATCH(Q14, _xlpm.colSite, 0),
    _xlpm.rowThroughput, MATCH("Maximum Throughput for Downlink per Site", _xlfn.DROP(_xlpm.colSite, _xlpm.rowRegion), 0),
    IF(INDEX(_xlpm.colauto, _xlpm.rowRegion + _xlpm.rowThroughput)='Model Configurator Sup'!$M$4,VLOOKUP(Q14,'Base Stations Parameters'!$B:$T,4,0),INDEX(_xlpm.colData, _xlpm.rowRegion + _xlpm.rowThroughput))
)</f>
        <v>17000</v>
      </c>
      <c r="Y14" s="106">
        <f ca="1">IF($V14&lt;=0,0,T14/(W14*$V14))</f>
        <v>0.74355892575039495</v>
      </c>
      <c r="Z14" s="106">
        <f ca="1">IF($V14&lt;=0,0,U14/(X14*$V14))</f>
        <v>3.1934915051460254E-2</v>
      </c>
      <c r="AA14" s="130">
        <f>VLOOKUP(Q14,'Base Stations Parameters'!$B:$S,3,0)</f>
        <v>145000</v>
      </c>
      <c r="AB14">
        <f ca="1">ROUNDUP(MAX(T14/W14-V14,U14/X14-V14,0),0)</f>
        <v>0</v>
      </c>
      <c r="AC14" s="130">
        <f ca="1">AB14*AA14</f>
        <v>0</v>
      </c>
      <c r="AF14" s="69" t="s">
        <v>169</v>
      </c>
      <c r="AH14" s="125">
        <v>0.15</v>
      </c>
      <c r="AI14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)*AH14,0)</f>
        <v>995742</v>
      </c>
      <c r="AJ14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)*AH14</f>
        <v>232580.6216835652</v>
      </c>
      <c r="AK14" s="105">
        <f>INDEX('Sites per Region'!$A:$BD, MATCH(AF14,'Sites per Region'!$B:$B,0), MATCH(AG$9,'Sites per Region'!$8:$8, 0))</f>
        <v>316.5</v>
      </c>
      <c r="AL14" s="105">
        <f>_xlfn.LET(
_xlpm.data,'Base Stations Profiles'!$B:$AI,
_xlpm.colSite,INDEX(_xlpm.data,,1),
_xlpm.colData,INDEX(_xlpm.data,,2),
_xlpm.rowRegion,MATCH(AF14,_xlpm.colSite,0),
_xlpm.rowUser,MATCH("Maximum Simultaneously Active Users per Site",_xlfn.DROP(_xlpm.colSite,_xlpm.rowRegion),0),
INDEX(_xlpm.colData,_xlpm.rowRegion+_xlpm.rowUser))</f>
        <v>2500</v>
      </c>
      <c r="AM14" s="124">
        <f>_xlfn.LET(
    _xlpm.data, 'Base Stations Profiles'!$B:$AJ,
    _xlpm.colSite, INDEX(_xlpm.data,,1),
    _xlpm.colauto, INDEX(_xlpm.data,,3),
    _xlpm.colData, INDEX(_xlpm.data,,2),
    _xlpm.rowRegion, MATCH(AF14, _xlpm.colSite, 0),
    _xlpm.rowThroughput, MATCH("Maximum Throughput for Downlink per Site", _xlfn.DROP(_xlpm.colSite, _xlpm.rowRegion), 0),
    IF(INDEX(_xlpm.colauto, _xlpm.rowRegion + _xlpm.rowThroughput)='Model Configurator Sup'!$M$4,VLOOKUP(AF14,'Base Stations Parameters'!$B:$AI,4,0),INDEX(_xlpm.colData, _xlpm.rowRegion + _xlpm.rowThroughput))
)</f>
        <v>17000</v>
      </c>
      <c r="AN14" s="106">
        <f ca="1">IF($AK14&lt;=0,0,AI14/(AL14*$AK14))</f>
        <v>1.2584417061611375</v>
      </c>
      <c r="AO14" s="106">
        <f ca="1">IF($AK14&lt;=0,0,AJ14/(AM14*$AK14))</f>
        <v>4.3226581485654718E-2</v>
      </c>
      <c r="AP14" s="130">
        <f>VLOOKUP(AF14,'Base Stations Parameters'!$B:$AH,3,0)</f>
        <v>145000</v>
      </c>
      <c r="AQ14">
        <f ca="1">ROUNDUP(MAX(AI14/AL14-AK14,AJ14/AM14-AK14,0),0)</f>
        <v>82</v>
      </c>
      <c r="AR14" s="130">
        <f ca="1">AQ14*AP14</f>
        <v>11890000</v>
      </c>
    </row>
    <row r="15" spans="1:44" ht="15.75" customHeight="1" thickBot="1" x14ac:dyDescent="0.3">
      <c r="B15" s="69" t="s">
        <v>246</v>
      </c>
      <c r="D15" s="125">
        <v>0.15</v>
      </c>
      <c r="E15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)*D15,0)</f>
        <v>489745</v>
      </c>
      <c r="F15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)*D15</f>
        <v>155825.28998177755</v>
      </c>
      <c r="G15" s="105">
        <f>INDEX('Sites per Region'!$A:$Z, MATCH(B15,'Sites per Region'!$B:$B,0), MATCH(C$9,'Sites per Region'!$8:$8, 0))</f>
        <v>316</v>
      </c>
      <c r="H15" s="105">
        <f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>
        <f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12000</v>
      </c>
      <c r="J15" s="106">
        <f ca="1">IF($G15&lt;=0,0,E15/(H15*$G15))</f>
        <v>1.0332172995780591</v>
      </c>
      <c r="K15" s="106">
        <f ca="1">IF($G15&lt;=0,0,F15/(I15*$G15))</f>
        <v>4.1093167189287329E-2</v>
      </c>
      <c r="L15" s="130">
        <f>VLOOKUP(B15,'Base Stations Parameters'!$B:$D,3,0)</f>
        <v>145000</v>
      </c>
      <c r="M15">
        <f ca="1">ROUNDUP(MAX(E15/H15-G15,F15/I15-G15,0),0)</f>
        <v>11</v>
      </c>
      <c r="N15" s="130">
        <f ca="1">M15*L15</f>
        <v>1595000</v>
      </c>
      <c r="Q15" s="69" t="s">
        <v>246</v>
      </c>
      <c r="S15" s="125">
        <v>0.15</v>
      </c>
      <c r="T15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)*S15,0)</f>
        <v>588341</v>
      </c>
      <c r="U15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)*S15</f>
        <v>171825.81043438191</v>
      </c>
      <c r="V15" s="105">
        <f>INDEX('Sites per Region'!$A:$AO, MATCH(Q15,'Sites per Region'!$B:$B,0), MATCH(R$9,'Sites per Region'!$8:$8, 0))</f>
        <v>316</v>
      </c>
      <c r="W15" s="105">
        <f>_xlfn.LET(
_xlpm.data,'Base Stations Profiles'!$B:$T,
_xlpm.colSite,INDEX(_xlpm.data,,1),
_xlpm.colData,INDEX(_xlpm.data,,2),
_xlpm.rowRegion,MATCH(Q15,_xlpm.colSite,0),
_xlpm.rowUser,MATCH("Maximum Simultaneously Active Users per Site",_xlfn.DROP(_xlpm.colSite,_xlpm.rowRegion),0),
INDEX(_xlpm.colData,_xlpm.rowRegion+_xlpm.rowUser))</f>
        <v>1500</v>
      </c>
      <c r="X15" s="124">
        <f>_xlfn.LET(
    _xlpm.data, 'Base Stations Profiles'!$B:$U,
    _xlpm.colSite, INDEX(_xlpm.data,,1),
    _xlpm.colauto, INDEX(_xlpm.data,,3),
    _xlpm.colData, INDEX(_xlpm.data,,2),
    _xlpm.rowRegion, MATCH(Q15, _xlpm.colSite, 0),
    _xlpm.rowThroughput, MATCH("Maximum Throughput for Downlink per Site", _xlfn.DROP(_xlpm.colSite, _xlpm.rowRegion), 0),
    IF(INDEX(_xlpm.colauto, _xlpm.rowRegion + _xlpm.rowThroughput)='Model Configurator Sup'!$M$4,VLOOKUP(Q15,'Base Stations Parameters'!$B:$T,4,0),INDEX(_xlpm.colData, _xlpm.rowRegion + _xlpm.rowThroughput))
)</f>
        <v>12000</v>
      </c>
      <c r="Y15" s="106">
        <f ca="1">IF($V15&lt;=0,0,T15/(W15*$V15))</f>
        <v>1.2412257383966245</v>
      </c>
      <c r="Z15" s="106">
        <f ca="1">IF($V15&lt;=0,0,U15/(X15*$V15))</f>
        <v>4.5312713722147131E-2</v>
      </c>
      <c r="AA15" s="130">
        <f>VLOOKUP(Q15,'Base Stations Parameters'!$B:$S,3,0)</f>
        <v>145000</v>
      </c>
      <c r="AB15">
        <f ca="1">ROUNDUP(MAX(T15/W15-V15,U15/X15-V15,0),0)</f>
        <v>77</v>
      </c>
      <c r="AC15" s="130">
        <f ca="1">AB15*AA15</f>
        <v>11165000</v>
      </c>
      <c r="AF15" s="69" t="s">
        <v>246</v>
      </c>
      <c r="AH15" s="125">
        <v>0.15</v>
      </c>
      <c r="AI15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)*AH15,0)</f>
        <v>995742</v>
      </c>
      <c r="AJ15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)*AH15</f>
        <v>232580.6216835652</v>
      </c>
      <c r="AK15" s="105">
        <f>INDEX('Sites per Region'!$A:$BD, MATCH(AF15,'Sites per Region'!$B:$B,0), MATCH(AG$9,'Sites per Region'!$8:$8, 0))</f>
        <v>316</v>
      </c>
      <c r="AL15" s="105">
        <f>_xlfn.LET(
_xlpm.data,'Base Stations Profiles'!$B:$AI,
_xlpm.colSite,INDEX(_xlpm.data,,1),
_xlpm.colData,INDEX(_xlpm.data,,2),
_xlpm.rowRegion,MATCH(AF15,_xlpm.colSite,0),
_xlpm.rowUser,MATCH("Maximum Simultaneously Active Users per Site",_xlfn.DROP(_xlpm.colSite,_xlpm.rowRegion),0),
INDEX(_xlpm.colData,_xlpm.rowRegion+_xlpm.rowUser))</f>
        <v>1500</v>
      </c>
      <c r="AM15" s="124">
        <f>_xlfn.LET(
    _xlpm.data, 'Base Stations Profiles'!$B:$AJ,
    _xlpm.colSite, INDEX(_xlpm.data,,1),
    _xlpm.colauto, INDEX(_xlpm.data,,3),
    _xlpm.colData, INDEX(_xlpm.data,,2),
    _xlpm.rowRegion, MATCH(AF15, _xlpm.colSite, 0),
    _xlpm.rowThroughput, MATCH("Maximum Throughput for Downlink per Site", _xlfn.DROP(_xlpm.colSite, _xlpm.rowRegion), 0),
    IF(INDEX(_xlpm.colauto, _xlpm.rowRegion + _xlpm.rowThroughput)='Model Configurator Sup'!$M$4,VLOOKUP(AF15,'Base Stations Parameters'!$B:$AI,4,0),INDEX(_xlpm.colData, _xlpm.rowRegion + _xlpm.rowThroughput))
)</f>
        <v>12000</v>
      </c>
      <c r="AN15" s="106">
        <f ca="1">IF($AK15&lt;=0,0,AI15/(AL15*$AK15))</f>
        <v>2.1007215189873416</v>
      </c>
      <c r="AO15" s="106">
        <f ca="1">IF($AK15&lt;=0,0,AJ15/(AM15*$AK15))</f>
        <v>6.1334552131741875E-2</v>
      </c>
      <c r="AP15" s="130">
        <f>VLOOKUP(AF15,'Base Stations Parameters'!$B:$AH,3,0)</f>
        <v>145000</v>
      </c>
      <c r="AQ15">
        <f ca="1">ROUNDUP(MAX(AI15/AL15-AK15,AJ15/AM15-AK15,0),0)</f>
        <v>348</v>
      </c>
      <c r="AR15" s="130">
        <f ca="1">AQ15*AP15</f>
        <v>50460000</v>
      </c>
    </row>
    <row r="16" spans="1:44" ht="15.75" customHeight="1" thickBot="1" x14ac:dyDescent="0.3">
      <c r="B16" s="69" t="s">
        <v>170</v>
      </c>
      <c r="D16" s="125">
        <v>0.15</v>
      </c>
      <c r="E16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)*D16,0)</f>
        <v>489745</v>
      </c>
      <c r="F16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)*D16</f>
        <v>155825.28998177755</v>
      </c>
      <c r="G16" s="105">
        <f>INDEX('Sites per Region'!$A:$Z, MATCH(B16,'Sites per Region'!$B:$B,0), MATCH(C$9,'Sites per Region'!$8:$8, 0))</f>
        <v>316</v>
      </c>
      <c r="H16" s="105">
        <f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>
        <f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ca="1">IF($G16&lt;=0,0,E16/(H16*$G16))</f>
        <v>1.0332172995780591</v>
      </c>
      <c r="K16" s="106">
        <f ca="1">IF($G16&lt;=0,0,F16/(I16*$G16))</f>
        <v>4.1093167189287329E-2</v>
      </c>
      <c r="L16" s="130">
        <f>VLOOKUP(B16,'Base Stations Parameters'!$B:$D,3,0)</f>
        <v>100000</v>
      </c>
      <c r="M16">
        <f ca="1">ROUNDUP(MAX(E16/H16-G16,F16/I16-G16,0),0)</f>
        <v>11</v>
      </c>
      <c r="N16" s="130">
        <f ca="1">M16*L16</f>
        <v>1100000</v>
      </c>
      <c r="Q16" s="69" t="s">
        <v>170</v>
      </c>
      <c r="S16" s="125">
        <v>0.15</v>
      </c>
      <c r="T16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)*S16,0)</f>
        <v>588341</v>
      </c>
      <c r="U16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)*S16</f>
        <v>171825.81043438191</v>
      </c>
      <c r="V16" s="105">
        <f>INDEX('Sites per Region'!$A:$AO, MATCH(Q16,'Sites per Region'!$B:$B,0), MATCH(R$9,'Sites per Region'!$8:$8, 0))</f>
        <v>316</v>
      </c>
      <c r="W16" s="105">
        <f>_xlfn.LET(
_xlpm.data,'Base Stations Profiles'!$B:$T,
_xlpm.colSite,INDEX(_xlpm.data,,1),
_xlpm.colData,INDEX(_xlpm.data,,2),
_xlpm.rowRegion,MATCH(Q16,_xlpm.colSite,0),
_xlpm.rowUser,MATCH("Maximum Simultaneously Active Users per Site",_xlfn.DROP(_xlpm.colSite,_xlpm.rowRegion),0),
INDEX(_xlpm.colData,_xlpm.rowRegion+_xlpm.rowUser))</f>
        <v>1500</v>
      </c>
      <c r="X16" s="124">
        <f>_xlfn.LET(
    _xlpm.data, 'Base Stations Profiles'!$B:$U,
    _xlpm.colSite, INDEX(_xlpm.data,,1),
    _xlpm.colauto, INDEX(_xlpm.data,,3),
    _xlpm.colData, INDEX(_xlpm.data,,2),
    _xlpm.rowRegion, MATCH(Q16, _xlpm.colSite, 0),
    _xlpm.rowThroughput, MATCH("Maximum Throughput for Downlink per Site", _xlfn.DROP(_xlpm.colSite, _xlpm.rowRegion), 0),
    IF(INDEX(_xlpm.colauto, _xlpm.rowRegion + _xlpm.rowThroughput)='Model Configurator Sup'!$M$4,VLOOKUP(Q16,'Base Stations Parameters'!$B:$T,4,0),INDEX(_xlpm.colData, _xlpm.rowRegion + _xlpm.rowThroughput))
)</f>
        <v>12000</v>
      </c>
      <c r="Y16" s="106">
        <f ca="1">IF($V16&lt;=0,0,T16/(W16*$V16))</f>
        <v>1.2412257383966245</v>
      </c>
      <c r="Z16" s="106">
        <f ca="1">IF($V16&lt;=0,0,U16/(X16*$V16))</f>
        <v>4.5312713722147131E-2</v>
      </c>
      <c r="AA16" s="130">
        <f>VLOOKUP(Q16,'Base Stations Parameters'!$B:$S,3,0)</f>
        <v>100000</v>
      </c>
      <c r="AB16">
        <f ca="1">ROUNDUP(MAX(T16/W16-V16,U16/X16-V16,0),0)</f>
        <v>77</v>
      </c>
      <c r="AC16" s="130">
        <f ca="1">AB16*AA16</f>
        <v>7700000</v>
      </c>
      <c r="AF16" s="69" t="s">
        <v>170</v>
      </c>
      <c r="AH16" s="125">
        <v>0.15</v>
      </c>
      <c r="AI16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)*AH16,0)</f>
        <v>995742</v>
      </c>
      <c r="AJ16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)*AH16</f>
        <v>232580.6216835652</v>
      </c>
      <c r="AK16" s="105">
        <f>INDEX('Sites per Region'!$A:$BD, MATCH(AF16,'Sites per Region'!$B:$B,0), MATCH(AG$9,'Sites per Region'!$8:$8, 0))</f>
        <v>316</v>
      </c>
      <c r="AL16" s="105">
        <f>_xlfn.LET(
_xlpm.data,'Base Stations Profiles'!$B:$AI,
_xlpm.colSite,INDEX(_xlpm.data,,1),
_xlpm.colData,INDEX(_xlpm.data,,2),
_xlpm.rowRegion,MATCH(AF16,_xlpm.colSite,0),
_xlpm.rowUser,MATCH("Maximum Simultaneously Active Users per Site",_xlfn.DROP(_xlpm.colSite,_xlpm.rowRegion),0),
INDEX(_xlpm.colData,_xlpm.rowRegion+_xlpm.rowUser))</f>
        <v>1500</v>
      </c>
      <c r="AM16" s="124">
        <f>_xlfn.LET(
    _xlpm.data, 'Base Stations Profiles'!$B:$AJ,
    _xlpm.colSite, INDEX(_xlpm.data,,1),
    _xlpm.colauto, INDEX(_xlpm.data,,3),
    _xlpm.colData, INDEX(_xlpm.data,,2),
    _xlpm.rowRegion, MATCH(AF16, _xlpm.colSite, 0),
    _xlpm.rowThroughput, MATCH("Maximum Throughput for Downlink per Site", _xlfn.DROP(_xlpm.colSite, _xlpm.rowRegion), 0),
    IF(INDEX(_xlpm.colauto, _xlpm.rowRegion + _xlpm.rowThroughput)='Model Configurator Sup'!$M$4,VLOOKUP(AF16,'Base Stations Parameters'!$B:$AI,4,0),INDEX(_xlpm.colData, _xlpm.rowRegion + _xlpm.rowThroughput))
)</f>
        <v>12000</v>
      </c>
      <c r="AN16" s="106">
        <f ca="1">IF($AK16&lt;=0,0,AI16/(AL16*$AK16))</f>
        <v>2.1007215189873416</v>
      </c>
      <c r="AO16" s="106">
        <f ca="1">IF($AK16&lt;=0,0,AJ16/(AM16*$AK16))</f>
        <v>6.1334552131741875E-2</v>
      </c>
      <c r="AP16" s="130">
        <f>VLOOKUP(AF16,'Base Stations Parameters'!$B:$AH,3,0)</f>
        <v>100000</v>
      </c>
      <c r="AQ16">
        <f ca="1">ROUNDUP(MAX(AI16/AL16-AK16,AJ16/AM16-AK16,0),0)</f>
        <v>348</v>
      </c>
      <c r="AR16" s="130">
        <f ca="1">AQ16*AP16</f>
        <v>34800000</v>
      </c>
    </row>
    <row r="17" spans="2:44" ht="15.75" customHeight="1" thickBot="1" x14ac:dyDescent="0.3">
      <c r="B17" s="69" t="s">
        <v>247</v>
      </c>
      <c r="D17" s="125">
        <v>7.4999999999999997E-2</v>
      </c>
      <c r="E17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)*D17,0)</f>
        <v>244872</v>
      </c>
      <c r="F17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)*D17</f>
        <v>77912.644990888773</v>
      </c>
      <c r="G17" s="105">
        <f>INDEX('Sites per Region'!$A:$Z, MATCH(B17,'Sites per Region'!$B:$B,0), MATCH(C$9,'Sites per Region'!$8:$8, 0))</f>
        <v>350.5</v>
      </c>
      <c r="H17" s="105">
        <f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>
        <f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5000</v>
      </c>
      <c r="J17" s="106">
        <f ca="1">IF($G17&lt;=0,0,E17/(H17*$G17))</f>
        <v>0.93151497860199717</v>
      </c>
      <c r="K17" s="106">
        <f ca="1">IF($G17&lt;=0,0,F17/(I17*$G17))</f>
        <v>4.445799999480101E-2</v>
      </c>
      <c r="L17" s="130">
        <f>VLOOKUP(B17,'Base Stations Parameters'!$B:$D,3,0)</f>
        <v>100000</v>
      </c>
      <c r="M17">
        <f ca="1">ROUNDUP(MAX(E17/H17-G17,F17/I17-G17,0),0)</f>
        <v>0</v>
      </c>
      <c r="N17" s="130">
        <f ca="1">M17*L17</f>
        <v>0</v>
      </c>
      <c r="Q17" s="69" t="s">
        <v>247</v>
      </c>
      <c r="S17" s="125">
        <v>7.4999999999999997E-2</v>
      </c>
      <c r="T17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)*S17,0)</f>
        <v>294170</v>
      </c>
      <c r="U17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)*S17</f>
        <v>85912.905217190957</v>
      </c>
      <c r="V17" s="105">
        <f>INDEX('Sites per Region'!$A:$AO, MATCH(Q17,'Sites per Region'!$B:$B,0), MATCH(R$9,'Sites per Region'!$8:$8, 0))</f>
        <v>350.5</v>
      </c>
      <c r="W17" s="105">
        <f>_xlfn.LET(
_xlpm.data,'Base Stations Profiles'!$B:$T,
_xlpm.colSite,INDEX(_xlpm.data,,1),
_xlpm.colData,INDEX(_xlpm.data,,2),
_xlpm.rowRegion,MATCH(Q17,_xlpm.colSite,0),
_xlpm.rowUser,MATCH("Maximum Simultaneously Active Users per Site",_xlfn.DROP(_xlpm.colSite,_xlpm.rowRegion),0),
INDEX(_xlpm.colData,_xlpm.rowRegion+_xlpm.rowUser))</f>
        <v>750</v>
      </c>
      <c r="X17" s="124">
        <f>_xlfn.LET(
    _xlpm.data, 'Base Stations Profiles'!$B:$U,
    _xlpm.colSite, INDEX(_xlpm.data,,1),
    _xlpm.colauto, INDEX(_xlpm.data,,3),
    _xlpm.colData, INDEX(_xlpm.data,,2),
    _xlpm.rowRegion, MATCH(Q17, _xlpm.colSite, 0),
    _xlpm.rowThroughput, MATCH("Maximum Throughput for Downlink per Site", _xlfn.DROP(_xlpm.colSite, _xlpm.rowRegion), 0),
    IF(INDEX(_xlpm.colauto, _xlpm.rowRegion + _xlpm.rowThroughput)='Model Configurator Sup'!$M$4,VLOOKUP(Q17,'Base Stations Parameters'!$B:$T,4,0),INDEX(_xlpm.colData, _xlpm.rowRegion + _xlpm.rowThroughput))
)</f>
        <v>5000</v>
      </c>
      <c r="Y17" s="106">
        <f ca="1">IF($V17&lt;=0,0,T17/(W17*$V17))</f>
        <v>1.1190489776509749</v>
      </c>
      <c r="Z17" s="106">
        <f ca="1">IF($V17&lt;=0,0,U17/(X17*$V17))</f>
        <v>4.9023055758739491E-2</v>
      </c>
      <c r="AA17" s="130">
        <f>VLOOKUP(Q17,'Base Stations Parameters'!$B:$S,3,0)</f>
        <v>100000</v>
      </c>
      <c r="AB17">
        <f ca="1">ROUNDUP(MAX(T17/W17-V17,U17/X17-V17,0),0)</f>
        <v>42</v>
      </c>
      <c r="AC17" s="130">
        <f ca="1">AB17*AA17</f>
        <v>4200000</v>
      </c>
      <c r="AF17" s="69" t="s">
        <v>247</v>
      </c>
      <c r="AH17" s="125">
        <v>7.4999999999999997E-2</v>
      </c>
      <c r="AI17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)*AH17,0)</f>
        <v>497871</v>
      </c>
      <c r="AJ17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)*AH17</f>
        <v>116290.3108417826</v>
      </c>
      <c r="AK17" s="105">
        <f>INDEX('Sites per Region'!$A:$BD, MATCH(AF17,'Sites per Region'!$B:$B,0), MATCH(AG$9,'Sites per Region'!$8:$8, 0))</f>
        <v>350.5</v>
      </c>
      <c r="AL17" s="105">
        <f>_xlfn.LET(
_xlpm.data,'Base Stations Profiles'!$B:$AI,
_xlpm.colSite,INDEX(_xlpm.data,,1),
_xlpm.colData,INDEX(_xlpm.data,,2),
_xlpm.rowRegion,MATCH(AF17,_xlpm.colSite,0),
_xlpm.rowUser,MATCH("Maximum Simultaneously Active Users per Site",_xlfn.DROP(_xlpm.colSite,_xlpm.rowRegion),0),
INDEX(_xlpm.colData,_xlpm.rowRegion+_xlpm.rowUser))</f>
        <v>750</v>
      </c>
      <c r="AM17" s="124">
        <f>_xlfn.LET(
    _xlpm.data, 'Base Stations Profiles'!$B:$AJ,
    _xlpm.colSite, INDEX(_xlpm.data,,1),
    _xlpm.colauto, INDEX(_xlpm.data,,3),
    _xlpm.colData, INDEX(_xlpm.data,,2),
    _xlpm.rowRegion, MATCH(AF17, _xlpm.colSite, 0),
    _xlpm.rowThroughput, MATCH("Maximum Throughput for Downlink per Site", _xlfn.DROP(_xlpm.colSite, _xlpm.rowRegion), 0),
    IF(INDEX(_xlpm.colauto, _xlpm.rowRegion + _xlpm.rowThroughput)='Model Configurator Sup'!$M$4,VLOOKUP(AF17,'Base Stations Parameters'!$B:$AI,4,0),INDEX(_xlpm.colData, _xlpm.rowRegion + _xlpm.rowThroughput))
)</f>
        <v>5000</v>
      </c>
      <c r="AN17" s="106">
        <f ca="1">IF($AK17&lt;=0,0,AI17/(AL17*$AK17))</f>
        <v>1.8939457917261056</v>
      </c>
      <c r="AO17" s="106">
        <f ca="1">IF($AK17&lt;=0,0,AJ17/(AM17*$AK17))</f>
        <v>6.6356810751373813E-2</v>
      </c>
      <c r="AP17" s="130">
        <f>VLOOKUP(AF17,'Base Stations Parameters'!$B:$AH,3,0)</f>
        <v>100000</v>
      </c>
      <c r="AQ17">
        <f ca="1">ROUNDUP(MAX(AI17/AL17-AK17,AJ17/AM17-AK17,0),0)</f>
        <v>314</v>
      </c>
      <c r="AR17" s="130">
        <f ca="1">AQ17*AP17</f>
        <v>31400000</v>
      </c>
    </row>
    <row r="18" spans="2:44" ht="15.75" customHeight="1" thickBot="1" x14ac:dyDescent="0.3">
      <c r="B18" s="69" t="s">
        <v>171</v>
      </c>
      <c r="D18" s="125">
        <v>7.4999999999999997E-2</v>
      </c>
      <c r="E18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)*D18,0)</f>
        <v>244872</v>
      </c>
      <c r="F18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)*D18</f>
        <v>77912.644990888773</v>
      </c>
      <c r="G18" s="105">
        <f>INDEX('Sites per Region'!$A:$Z, MATCH(B18,'Sites per Region'!$B:$B,0), MATCH(C$9,'Sites per Region'!$8:$8, 0))</f>
        <v>350.5</v>
      </c>
      <c r="H18" s="105">
        <f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>
        <f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ca="1">IF($G18&lt;=0,0,E18/(H18*$G18))</f>
        <v>0.93151497860199717</v>
      </c>
      <c r="K18" s="106">
        <f ca="1">IF($G18&lt;=0,0,F18/(I18*$G18))</f>
        <v>4.445799999480101E-2</v>
      </c>
      <c r="L18" s="130">
        <f>VLOOKUP(B18,'Base Stations Parameters'!$B:$D,3,0)</f>
        <v>95000</v>
      </c>
      <c r="M18">
        <f ca="1">ROUNDUP(MAX(E18/H18-G18,F18/I18-G18,0),0)</f>
        <v>0</v>
      </c>
      <c r="N18" s="130">
        <f ca="1">M18*L18</f>
        <v>0</v>
      </c>
      <c r="Q18" s="69" t="s">
        <v>171</v>
      </c>
      <c r="S18" s="125">
        <v>7.4999999999999997E-2</v>
      </c>
      <c r="T18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)*S18,0)</f>
        <v>294170</v>
      </c>
      <c r="U18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)*S18</f>
        <v>85912.905217190957</v>
      </c>
      <c r="V18" s="105">
        <f>INDEX('Sites per Region'!$A:$AO, MATCH(Q18,'Sites per Region'!$B:$B,0), MATCH(R$9,'Sites per Region'!$8:$8, 0))</f>
        <v>350.5</v>
      </c>
      <c r="W18" s="105">
        <f>_xlfn.LET(
_xlpm.data,'Base Stations Profiles'!$B:$T,
_xlpm.colSite,INDEX(_xlpm.data,,1),
_xlpm.colData,INDEX(_xlpm.data,,2),
_xlpm.rowRegion,MATCH(Q18,_xlpm.colSite,0),
_xlpm.rowUser,MATCH("Maximum Simultaneously Active Users per Site",_xlfn.DROP(_xlpm.colSite,_xlpm.rowRegion),0),
INDEX(_xlpm.colData,_xlpm.rowRegion+_xlpm.rowUser))</f>
        <v>750</v>
      </c>
      <c r="X18" s="124">
        <f>_xlfn.LET(
    _xlpm.data, 'Base Stations Profiles'!$B:$U,
    _xlpm.colSite, INDEX(_xlpm.data,,1),
    _xlpm.colauto, INDEX(_xlpm.data,,3),
    _xlpm.colData, INDEX(_xlpm.data,,2),
    _xlpm.rowRegion, MATCH(Q18, _xlpm.colSite, 0),
    _xlpm.rowThroughput, MATCH("Maximum Throughput for Downlink per Site", _xlfn.DROP(_xlpm.colSite, _xlpm.rowRegion), 0),
    IF(INDEX(_xlpm.colauto, _xlpm.rowRegion + _xlpm.rowThroughput)='Model Configurator Sup'!$M$4,VLOOKUP(Q18,'Base Stations Parameters'!$B:$T,4,0),INDEX(_xlpm.colData, _xlpm.rowRegion + _xlpm.rowThroughput))
)</f>
        <v>5000</v>
      </c>
      <c r="Y18" s="106">
        <f ca="1">IF($V18&lt;=0,0,T18/(W18*$V18))</f>
        <v>1.1190489776509749</v>
      </c>
      <c r="Z18" s="106">
        <f ca="1">IF($V18&lt;=0,0,U18/(X18*$V18))</f>
        <v>4.9023055758739491E-2</v>
      </c>
      <c r="AA18" s="130">
        <f>VLOOKUP(Q18,'Base Stations Parameters'!$B:$S,3,0)</f>
        <v>95000</v>
      </c>
      <c r="AB18">
        <f ca="1">ROUNDUP(MAX(T18/W18-V18,U18/X18-V18,0),0)</f>
        <v>42</v>
      </c>
      <c r="AC18" s="130">
        <f ca="1">AB18*AA18</f>
        <v>3990000</v>
      </c>
      <c r="AF18" s="69" t="s">
        <v>171</v>
      </c>
      <c r="AH18" s="125">
        <v>7.4999999999999997E-2</v>
      </c>
      <c r="AI18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)*AH18,0)</f>
        <v>497871</v>
      </c>
      <c r="AJ18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)*AH18</f>
        <v>116290.3108417826</v>
      </c>
      <c r="AK18" s="105">
        <f>INDEX('Sites per Region'!$A:$BD, MATCH(AF18,'Sites per Region'!$B:$B,0), MATCH(AG$9,'Sites per Region'!$8:$8, 0))</f>
        <v>350.5</v>
      </c>
      <c r="AL18" s="105">
        <f>_xlfn.LET(
_xlpm.data,'Base Stations Profiles'!$B:$AI,
_xlpm.colSite,INDEX(_xlpm.data,,1),
_xlpm.colData,INDEX(_xlpm.data,,2),
_xlpm.rowRegion,MATCH(AF18,_xlpm.colSite,0),
_xlpm.rowUser,MATCH("Maximum Simultaneously Active Users per Site",_xlfn.DROP(_xlpm.colSite,_xlpm.rowRegion),0),
INDEX(_xlpm.colData,_xlpm.rowRegion+_xlpm.rowUser))</f>
        <v>750</v>
      </c>
      <c r="AM18" s="124">
        <f>_xlfn.LET(
    _xlpm.data, 'Base Stations Profiles'!$B:$AJ,
    _xlpm.colSite, INDEX(_xlpm.data,,1),
    _xlpm.colauto, INDEX(_xlpm.data,,3),
    _xlpm.colData, INDEX(_xlpm.data,,2),
    _xlpm.rowRegion, MATCH(AF18, _xlpm.colSite, 0),
    _xlpm.rowThroughput, MATCH("Maximum Throughput for Downlink per Site", _xlfn.DROP(_xlpm.colSite, _xlpm.rowRegion), 0),
    IF(INDEX(_xlpm.colauto, _xlpm.rowRegion + _xlpm.rowThroughput)='Model Configurator Sup'!$M$4,VLOOKUP(AF18,'Base Stations Parameters'!$B:$AI,4,0),INDEX(_xlpm.colData, _xlpm.rowRegion + _xlpm.rowThroughput))
)</f>
        <v>5000</v>
      </c>
      <c r="AN18" s="106">
        <f ca="1">IF($AK18&lt;=0,0,AI18/(AL18*$AK18))</f>
        <v>1.8939457917261056</v>
      </c>
      <c r="AO18" s="106">
        <f ca="1">IF($AK18&lt;=0,0,AJ18/(AM18*$AK18))</f>
        <v>6.6356810751373813E-2</v>
      </c>
      <c r="AP18" s="130">
        <f>VLOOKUP(AF18,'Base Stations Parameters'!$B:$AH,3,0)</f>
        <v>95000</v>
      </c>
      <c r="AQ18">
        <f ca="1">ROUNDUP(MAX(AI18/AL18-AK18,AJ18/AM18-AK18,0),0)</f>
        <v>314</v>
      </c>
      <c r="AR18" s="130">
        <f ca="1">AQ18*AP18</f>
        <v>29830000</v>
      </c>
    </row>
    <row r="19" spans="2:44" ht="15.75" customHeight="1" thickBot="1" x14ac:dyDescent="0.3">
      <c r="B19" s="69" t="s">
        <v>248</v>
      </c>
      <c r="D19" s="125">
        <v>0.05</v>
      </c>
      <c r="E19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)*D19,0)</f>
        <v>163248</v>
      </c>
      <c r="F19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)*D19</f>
        <v>51941.763327259185</v>
      </c>
      <c r="G19" s="105">
        <f>INDEX('Sites per Region'!$A:$Z, MATCH(B19,'Sites per Region'!$B:$B,0), MATCH(C$9,'Sites per Region'!$8:$8, 0))</f>
        <v>340.5</v>
      </c>
      <c r="H19" s="105">
        <f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>
        <f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2000</v>
      </c>
      <c r="J19" s="106">
        <f ca="1">IF($G19&lt;=0,0,E19/(H19*$G19))</f>
        <v>0.31962408223201177</v>
      </c>
      <c r="K19" s="106">
        <f ca="1">IF($G19&lt;=0,0,F19/(I19*$G19))</f>
        <v>7.6272780216239622E-2</v>
      </c>
      <c r="L19" s="130">
        <f>VLOOKUP(B19,'Base Stations Parameters'!$B:$D,3,0)</f>
        <v>95000</v>
      </c>
      <c r="M19">
        <f ca="1">ROUNDUP(MAX(E19/H19-G19,F19/I19-G19,0),0)</f>
        <v>0</v>
      </c>
      <c r="N19" s="130">
        <f ca="1">M19*L19</f>
        <v>0</v>
      </c>
      <c r="Q19" s="69" t="s">
        <v>248</v>
      </c>
      <c r="S19" s="125">
        <v>0.05</v>
      </c>
      <c r="T19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)*S19,0)</f>
        <v>196113</v>
      </c>
      <c r="U19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)*S19</f>
        <v>57275.270144793976</v>
      </c>
      <c r="V19" s="105">
        <f>INDEX('Sites per Region'!$A:$AO, MATCH(Q19,'Sites per Region'!$B:$B,0), MATCH(R$9,'Sites per Region'!$8:$8, 0))</f>
        <v>340.5</v>
      </c>
      <c r="W19" s="105">
        <f>_xlfn.LET(
_xlpm.data,'Base Stations Profiles'!$B:$T,
_xlpm.colSite,INDEX(_xlpm.data,,1),
_xlpm.colData,INDEX(_xlpm.data,,2),
_xlpm.rowRegion,MATCH(Q19,_xlpm.colSite,0),
_xlpm.rowUser,MATCH("Maximum Simultaneously Active Users per Site",_xlfn.DROP(_xlpm.colSite,_xlpm.rowRegion),0),
INDEX(_xlpm.colData,_xlpm.rowRegion+_xlpm.rowUser))</f>
        <v>1500</v>
      </c>
      <c r="X19" s="124">
        <f>_xlfn.LET(
    _xlpm.data, 'Base Stations Profiles'!$B:$U,
    _xlpm.colSite, INDEX(_xlpm.data,,1),
    _xlpm.colauto, INDEX(_xlpm.data,,3),
    _xlpm.colData, INDEX(_xlpm.data,,2),
    _xlpm.rowRegion, MATCH(Q19, _xlpm.colSite, 0),
    _xlpm.rowThroughput, MATCH("Maximum Throughput for Downlink per Site", _xlfn.DROP(_xlpm.colSite, _xlpm.rowRegion), 0),
    IF(INDEX(_xlpm.colauto, _xlpm.rowRegion + _xlpm.rowThroughput)='Model Configurator Sup'!$M$4,VLOOKUP(Q19,'Base Stations Parameters'!$B:$T,4,0),INDEX(_xlpm.colData, _xlpm.rowRegion + _xlpm.rowThroughput))
)</f>
        <v>2000</v>
      </c>
      <c r="Y19" s="106">
        <f ca="1">IF($V19&lt;=0,0,T19/(W19*$V19))</f>
        <v>0.38397063142437593</v>
      </c>
      <c r="Z19" s="106">
        <f ca="1">IF($V19&lt;=0,0,U19/(X19*$V19))</f>
        <v>8.4104655131856054E-2</v>
      </c>
      <c r="AA19" s="130">
        <f>VLOOKUP(Q19,'Base Stations Parameters'!$B:$S,3,0)</f>
        <v>95000</v>
      </c>
      <c r="AB19">
        <f ca="1">ROUNDUP(MAX(T19/W19-V19,U19/X19-V19,0),0)</f>
        <v>0</v>
      </c>
      <c r="AC19" s="130">
        <f ca="1">AB19*AA19</f>
        <v>0</v>
      </c>
      <c r="AF19" s="69" t="s">
        <v>248</v>
      </c>
      <c r="AH19" s="125">
        <v>0.05</v>
      </c>
      <c r="AI19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)*AH19,0)</f>
        <v>331914</v>
      </c>
      <c r="AJ19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)*AH19</f>
        <v>77526.873894521734</v>
      </c>
      <c r="AK19" s="105">
        <f>INDEX('Sites per Region'!$A:$BD, MATCH(AF19,'Sites per Region'!$B:$B,0), MATCH(AG$9,'Sites per Region'!$8:$8, 0))</f>
        <v>340.5</v>
      </c>
      <c r="AL19" s="105">
        <f>_xlfn.LET(
_xlpm.data,'Base Stations Profiles'!$B:$AI,
_xlpm.colSite,INDEX(_xlpm.data,,1),
_xlpm.colData,INDEX(_xlpm.data,,2),
_xlpm.rowRegion,MATCH(AF19,_xlpm.colSite,0),
_xlpm.rowUser,MATCH("Maximum Simultaneously Active Users per Site",_xlfn.DROP(_xlpm.colSite,_xlpm.rowRegion),0),
INDEX(_xlpm.colData,_xlpm.rowRegion+_xlpm.rowUser))</f>
        <v>1500</v>
      </c>
      <c r="AM19" s="124">
        <f>_xlfn.LET(
    _xlpm.data, 'Base Stations Profiles'!$B:$AJ,
    _xlpm.colSite, INDEX(_xlpm.data,,1),
    _xlpm.colauto, INDEX(_xlpm.data,,3),
    _xlpm.colData, INDEX(_xlpm.data,,2),
    _xlpm.rowRegion, MATCH(AF19, _xlpm.colSite, 0),
    _xlpm.rowThroughput, MATCH("Maximum Throughput for Downlink per Site", _xlfn.DROP(_xlpm.colSite, _xlpm.rowRegion), 0),
    IF(INDEX(_xlpm.colauto, _xlpm.rowRegion + _xlpm.rowThroughput)='Model Configurator Sup'!$M$4,VLOOKUP(AF19,'Base Stations Parameters'!$B:$AI,4,0),INDEX(_xlpm.colData, _xlpm.rowRegion + _xlpm.rowThroughput))
)</f>
        <v>2000</v>
      </c>
      <c r="AN19" s="106">
        <f ca="1">IF($AK19&lt;=0,0,AI19/(AL19*$AK19))</f>
        <v>0.649856093979442</v>
      </c>
      <c r="AO19" s="106">
        <f ca="1">IF($AK19&lt;=0,0,AJ19/(AM19*$AK19))</f>
        <v>0.1138426929434974</v>
      </c>
      <c r="AP19" s="130">
        <f>VLOOKUP(AF19,'Base Stations Parameters'!$B:$AH,3,0)</f>
        <v>95000</v>
      </c>
      <c r="AQ19">
        <f ca="1">ROUNDUP(MAX(AI19/AL19-AK19,AJ19/AM19-AK19,0),0)</f>
        <v>0</v>
      </c>
      <c r="AR19" s="130">
        <f ca="1">AQ19*AP19</f>
        <v>0</v>
      </c>
    </row>
    <row r="20" spans="2:44" ht="15.75" customHeight="1" thickBot="1" x14ac:dyDescent="0.3">
      <c r="B20" s="69" t="s">
        <v>172</v>
      </c>
      <c r="D20" s="125">
        <v>0.05</v>
      </c>
      <c r="E20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)*D20,0)</f>
        <v>163248</v>
      </c>
      <c r="F20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)*D20</f>
        <v>51941.763327259185</v>
      </c>
      <c r="G20" s="105">
        <f>INDEX('Sites per Region'!$A:$Z, MATCH(B20,'Sites per Region'!$B:$B,0), MATCH(C$9,'Sites per Region'!$8:$8, 0))</f>
        <v>340.5</v>
      </c>
      <c r="H20" s="105">
        <f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>
        <f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ca="1">IF($G20&lt;=0,0,E20/(H20*$G20))</f>
        <v>0.31962408223201177</v>
      </c>
      <c r="K20" s="106">
        <f ca="1">IF($G20&lt;=0,0,F20/(I20*$G20))</f>
        <v>7.6272780216239622E-2</v>
      </c>
      <c r="L20" s="130">
        <f>VLOOKUP(B20,'Base Stations Parameters'!$B:$D,3,0)</f>
        <v>80000</v>
      </c>
      <c r="M20">
        <f ca="1">ROUNDUP(MAX(E20/H20-G20,F20/I20-G20,0),0)</f>
        <v>0</v>
      </c>
      <c r="N20" s="130">
        <f ca="1">M20*L20</f>
        <v>0</v>
      </c>
      <c r="Q20" s="69" t="s">
        <v>172</v>
      </c>
      <c r="S20" s="125">
        <v>0.05</v>
      </c>
      <c r="T20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)*S20,0)</f>
        <v>196113</v>
      </c>
      <c r="U20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)*S20</f>
        <v>57275.270144793976</v>
      </c>
      <c r="V20" s="105">
        <f>INDEX('Sites per Region'!$A:$AO, MATCH(Q20,'Sites per Region'!$B:$B,0), MATCH(R$9,'Sites per Region'!$8:$8, 0))</f>
        <v>340.5</v>
      </c>
      <c r="W20" s="105">
        <f>_xlfn.LET(
_xlpm.data,'Base Stations Profiles'!$B:$T,
_xlpm.colSite,INDEX(_xlpm.data,,1),
_xlpm.colData,INDEX(_xlpm.data,,2),
_xlpm.rowRegion,MATCH(Q20,_xlpm.colSite,0),
_xlpm.rowUser,MATCH("Maximum Simultaneously Active Users per Site",_xlfn.DROP(_xlpm.colSite,_xlpm.rowRegion),0),
INDEX(_xlpm.colData,_xlpm.rowRegion+_xlpm.rowUser))</f>
        <v>1500</v>
      </c>
      <c r="X20" s="124">
        <f>_xlfn.LET(
    _xlpm.data, 'Base Stations Profiles'!$B:$U,
    _xlpm.colSite, INDEX(_xlpm.data,,1),
    _xlpm.colauto, INDEX(_xlpm.data,,3),
    _xlpm.colData, INDEX(_xlpm.data,,2),
    _xlpm.rowRegion, MATCH(Q20, _xlpm.colSite, 0),
    _xlpm.rowThroughput, MATCH("Maximum Throughput for Downlink per Site", _xlfn.DROP(_xlpm.colSite, _xlpm.rowRegion), 0),
    IF(INDEX(_xlpm.colauto, _xlpm.rowRegion + _xlpm.rowThroughput)='Model Configurator Sup'!$M$4,VLOOKUP(Q20,'Base Stations Parameters'!$B:$T,4,0),INDEX(_xlpm.colData, _xlpm.rowRegion + _xlpm.rowThroughput))
)</f>
        <v>2000</v>
      </c>
      <c r="Y20" s="106">
        <f ca="1">IF($V20&lt;=0,0,T20/(W20*$V20))</f>
        <v>0.38397063142437593</v>
      </c>
      <c r="Z20" s="106">
        <f ca="1">IF($V20&lt;=0,0,U20/(X20*$V20))</f>
        <v>8.4104655131856054E-2</v>
      </c>
      <c r="AA20" s="130">
        <f>VLOOKUP(Q20,'Base Stations Parameters'!$B:$S,3,0)</f>
        <v>80000</v>
      </c>
      <c r="AB20">
        <f ca="1">ROUNDUP(MAX(T20/W20-V20,U20/X20-V20,0),0)</f>
        <v>0</v>
      </c>
      <c r="AC20" s="130">
        <f ca="1">AB20*AA20</f>
        <v>0</v>
      </c>
      <c r="AF20" s="69" t="s">
        <v>172</v>
      </c>
      <c r="AH20" s="125">
        <v>0.05</v>
      </c>
      <c r="AI20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)*AH20,0)</f>
        <v>331914</v>
      </c>
      <c r="AJ20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)*AH20</f>
        <v>77526.873894521734</v>
      </c>
      <c r="AK20" s="105">
        <f>INDEX('Sites per Region'!$A:$BD, MATCH(AF20,'Sites per Region'!$B:$B,0), MATCH(AG$9,'Sites per Region'!$8:$8, 0))</f>
        <v>340.5</v>
      </c>
      <c r="AL20" s="105">
        <f>_xlfn.LET(
_xlpm.data,'Base Stations Profiles'!$B:$AI,
_xlpm.colSite,INDEX(_xlpm.data,,1),
_xlpm.colData,INDEX(_xlpm.data,,2),
_xlpm.rowRegion,MATCH(AF20,_xlpm.colSite,0),
_xlpm.rowUser,MATCH("Maximum Simultaneously Active Users per Site",_xlfn.DROP(_xlpm.colSite,_xlpm.rowRegion),0),
INDEX(_xlpm.colData,_xlpm.rowRegion+_xlpm.rowUser))</f>
        <v>1500</v>
      </c>
      <c r="AM20" s="124">
        <f>_xlfn.LET(
    _xlpm.data, 'Base Stations Profiles'!$B:$AJ,
    _xlpm.colSite, INDEX(_xlpm.data,,1),
    _xlpm.colauto, INDEX(_xlpm.data,,3),
    _xlpm.colData, INDEX(_xlpm.data,,2),
    _xlpm.rowRegion, MATCH(AF20, _xlpm.colSite, 0),
    _xlpm.rowThroughput, MATCH("Maximum Throughput for Downlink per Site", _xlfn.DROP(_xlpm.colSite, _xlpm.rowRegion), 0),
    IF(INDEX(_xlpm.colauto, _xlpm.rowRegion + _xlpm.rowThroughput)='Model Configurator Sup'!$M$4,VLOOKUP(AF20,'Base Stations Parameters'!$B:$AI,4,0),INDEX(_xlpm.colData, _xlpm.rowRegion + _xlpm.rowThroughput))
)</f>
        <v>2000</v>
      </c>
      <c r="AN20" s="106">
        <f ca="1">IF($AK20&lt;=0,0,AI20/(AL20*$AK20))</f>
        <v>0.649856093979442</v>
      </c>
      <c r="AO20" s="106">
        <f ca="1">IF($AK20&lt;=0,0,AJ20/(AM20*$AK20))</f>
        <v>0.1138426929434974</v>
      </c>
      <c r="AP20" s="130">
        <f>VLOOKUP(AF20,'Base Stations Parameters'!$B:$AH,3,0)</f>
        <v>80000</v>
      </c>
      <c r="AQ20">
        <f ca="1">ROUNDUP(MAX(AI20/AL20-AK20,AJ20/AM20-AK20,0),0)</f>
        <v>0</v>
      </c>
      <c r="AR20" s="130">
        <f ca="1">AQ20*AP20</f>
        <v>0</v>
      </c>
    </row>
    <row r="21" spans="2:44" ht="15.75" customHeight="1" thickBot="1" x14ac:dyDescent="0.3">
      <c r="B21" s="69" t="s">
        <v>249</v>
      </c>
      <c r="D21" s="125">
        <v>0.05</v>
      </c>
      <c r="E21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)*D21,0)</f>
        <v>163248</v>
      </c>
      <c r="F21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)*D21</f>
        <v>51941.763327259185</v>
      </c>
      <c r="G21" s="105">
        <f>INDEX('Sites per Region'!$A:$Z, MATCH(B21,'Sites per Region'!$B:$B,0), MATCH(C$9,'Sites per Region'!$8:$8, 0))</f>
        <v>310.5</v>
      </c>
      <c r="H21" s="105">
        <f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>
        <f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1200</v>
      </c>
      <c r="J21" s="106">
        <f ca="1">IF($G21&lt;=0,0,E21/(H21*$G21))</f>
        <v>0.65719806763285027</v>
      </c>
      <c r="K21" s="106">
        <f ca="1">IF($G21&lt;=0,0,F21/(I21*$G21))</f>
        <v>0.13940355160295004</v>
      </c>
      <c r="L21" s="130">
        <f>VLOOKUP(B21,'Base Stations Parameters'!$B:$D,3,0)</f>
        <v>80000</v>
      </c>
      <c r="M21">
        <f ca="1">ROUNDUP(MAX(E21/H21-G21,F21/I21-G21,0),0)</f>
        <v>0</v>
      </c>
      <c r="N21" s="130">
        <f ca="1">M21*L21</f>
        <v>0</v>
      </c>
      <c r="Q21" s="69" t="s">
        <v>249</v>
      </c>
      <c r="S21" s="125">
        <v>0.05</v>
      </c>
      <c r="T21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)*S21,0)</f>
        <v>196113</v>
      </c>
      <c r="U21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)*S21</f>
        <v>57275.270144793976</v>
      </c>
      <c r="V21" s="105">
        <f>INDEX('Sites per Region'!$A:$AO, MATCH(Q21,'Sites per Region'!$B:$B,0), MATCH(R$9,'Sites per Region'!$8:$8, 0))</f>
        <v>310.5</v>
      </c>
      <c r="W21" s="105">
        <f>_xlfn.LET(
_xlpm.data,'Base Stations Profiles'!$B:$T,
_xlpm.colSite,INDEX(_xlpm.data,,1),
_xlpm.colData,INDEX(_xlpm.data,,2),
_xlpm.rowRegion,MATCH(Q21,_xlpm.colSite,0),
_xlpm.rowUser,MATCH("Maximum Simultaneously Active Users per Site",_xlfn.DROP(_xlpm.colSite,_xlpm.rowRegion),0),
INDEX(_xlpm.colData,_xlpm.rowRegion+_xlpm.rowUser))</f>
        <v>800</v>
      </c>
      <c r="X21" s="124">
        <f>_xlfn.LET(
    _xlpm.data, 'Base Stations Profiles'!$B:$U,
    _xlpm.colSite, INDEX(_xlpm.data,,1),
    _xlpm.colauto, INDEX(_xlpm.data,,3),
    _xlpm.colData, INDEX(_xlpm.data,,2),
    _xlpm.rowRegion, MATCH(Q21, _xlpm.colSite, 0),
    _xlpm.rowThroughput, MATCH("Maximum Throughput for Downlink per Site", _xlfn.DROP(_xlpm.colSite, _xlpm.rowRegion), 0),
    IF(INDEX(_xlpm.colauto, _xlpm.rowRegion + _xlpm.rowThroughput)='Model Configurator Sup'!$M$4,VLOOKUP(Q21,'Base Stations Parameters'!$B:$T,4,0),INDEX(_xlpm.colData, _xlpm.rowRegion + _xlpm.rowThroughput))
)</f>
        <v>1200</v>
      </c>
      <c r="Y21" s="106">
        <f ca="1">IF($V21&lt;=0,0,T21/(W21*$V21))</f>
        <v>0.78950483091787438</v>
      </c>
      <c r="Z21" s="106">
        <f ca="1">IF($V21&lt;=0,0,U21/(X21*$V21))</f>
        <v>0.15371784794630697</v>
      </c>
      <c r="AA21" s="130">
        <f>VLOOKUP(Q21,'Base Stations Parameters'!$B:$S,3,0)</f>
        <v>80000</v>
      </c>
      <c r="AB21">
        <f ca="1">ROUNDUP(MAX(T21/W21-V21,U21/X21-V21,0),0)</f>
        <v>0</v>
      </c>
      <c r="AC21" s="130">
        <f ca="1">AB21*AA21</f>
        <v>0</v>
      </c>
      <c r="AF21" s="69" t="s">
        <v>249</v>
      </c>
      <c r="AH21" s="125">
        <v>0.05</v>
      </c>
      <c r="AI21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)*AH21,0)</f>
        <v>331914</v>
      </c>
      <c r="AJ21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)*AH21</f>
        <v>77526.873894521734</v>
      </c>
      <c r="AK21" s="105">
        <f>INDEX('Sites per Region'!$A:$BD, MATCH(AF21,'Sites per Region'!$B:$B,0), MATCH(AG$9,'Sites per Region'!$8:$8, 0))</f>
        <v>310.5</v>
      </c>
      <c r="AL21" s="105">
        <f>_xlfn.LET(
_xlpm.data,'Base Stations Profiles'!$B:$AI,
_xlpm.colSite,INDEX(_xlpm.data,,1),
_xlpm.colData,INDEX(_xlpm.data,,2),
_xlpm.rowRegion,MATCH(AF21,_xlpm.colSite,0),
_xlpm.rowUser,MATCH("Maximum Simultaneously Active Users per Site",_xlfn.DROP(_xlpm.colSite,_xlpm.rowRegion),0),
INDEX(_xlpm.colData,_xlpm.rowRegion+_xlpm.rowUser))</f>
        <v>800</v>
      </c>
      <c r="AM21" s="124">
        <f>_xlfn.LET(
    _xlpm.data, 'Base Stations Profiles'!$B:$AJ,
    _xlpm.colSite, INDEX(_xlpm.data,,1),
    _xlpm.colauto, INDEX(_xlpm.data,,3),
    _xlpm.colData, INDEX(_xlpm.data,,2),
    _xlpm.rowRegion, MATCH(AF21, _xlpm.colSite, 0),
    _xlpm.rowThroughput, MATCH("Maximum Throughput for Downlink per Site", _xlfn.DROP(_xlpm.colSite, _xlpm.rowRegion), 0),
    IF(INDEX(_xlpm.colauto, _xlpm.rowRegion + _xlpm.rowThroughput)='Model Configurator Sup'!$M$4,VLOOKUP(AF21,'Base Stations Parameters'!$B:$AI,4,0),INDEX(_xlpm.colData, _xlpm.rowRegion + _xlpm.rowThroughput))
)</f>
        <v>1200</v>
      </c>
      <c r="AN21" s="106">
        <f ca="1">IF($AK21&lt;=0,0,AI21/(AL21*$AK21))</f>
        <v>1.336207729468599</v>
      </c>
      <c r="AO21" s="106">
        <f ca="1">IF($AK21&lt;=0,0,AJ21/(AM21*$AK21))</f>
        <v>0.20806997824616677</v>
      </c>
      <c r="AP21" s="130">
        <f>VLOOKUP(AF21,'Base Stations Parameters'!$B:$AH,3,0)</f>
        <v>80000</v>
      </c>
      <c r="AQ21">
        <f ca="1">ROUNDUP(MAX(AI21/AL21-AK21,AJ21/AM21-AK21,0),0)</f>
        <v>105</v>
      </c>
      <c r="AR21" s="130">
        <f ca="1">AQ21*AP21</f>
        <v>8400000</v>
      </c>
    </row>
    <row r="22" spans="2:44" ht="15.75" customHeight="1" thickBot="1" x14ac:dyDescent="0.3">
      <c r="B22" s="69" t="s">
        <v>173</v>
      </c>
      <c r="D22" s="125">
        <v>0.05</v>
      </c>
      <c r="E22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)*D22,0)</f>
        <v>163248</v>
      </c>
      <c r="F22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)*D22</f>
        <v>51941.763327259185</v>
      </c>
      <c r="G22" s="105">
        <f>INDEX('Sites per Region'!$A:$Z, MATCH(B22,'Sites per Region'!$B:$B,0), MATCH(C$9,'Sites per Region'!$8:$8, 0))</f>
        <v>310.5</v>
      </c>
      <c r="H22" s="105">
        <f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>
        <f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ca="1">IF($G22&lt;=0,0,E22/(H22*$G22))</f>
        <v>0.65719806763285027</v>
      </c>
      <c r="K22" s="106">
        <f ca="1">IF($G22&lt;=0,0,F22/(I22*$G22))</f>
        <v>0.13940355160295004</v>
      </c>
      <c r="L22" s="130">
        <f>VLOOKUP(B22,'Base Stations Parameters'!$B:$D,3,0)</f>
        <v>60000</v>
      </c>
      <c r="M22">
        <f ca="1">ROUNDUP(MAX(E22/H22-G22,F22/I22-G22,0),0)</f>
        <v>0</v>
      </c>
      <c r="N22" s="130">
        <f ca="1">M22*L22</f>
        <v>0</v>
      </c>
      <c r="Q22" s="69" t="s">
        <v>173</v>
      </c>
      <c r="S22" s="125">
        <v>0.05</v>
      </c>
      <c r="T22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)*S22,0)</f>
        <v>196113</v>
      </c>
      <c r="U22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)*S22</f>
        <v>57275.270144793976</v>
      </c>
      <c r="V22" s="105">
        <f>INDEX('Sites per Region'!$A:$AO, MATCH(Q22,'Sites per Region'!$B:$B,0), MATCH(R$9,'Sites per Region'!$8:$8, 0))</f>
        <v>310.5</v>
      </c>
      <c r="W22" s="105">
        <f>_xlfn.LET(
_xlpm.data,'Base Stations Profiles'!$B:$T,
_xlpm.colSite,INDEX(_xlpm.data,,1),
_xlpm.colData,INDEX(_xlpm.data,,2),
_xlpm.rowRegion,MATCH(Q22,_xlpm.colSite,0),
_xlpm.rowUser,MATCH("Maximum Simultaneously Active Users per Site",_xlfn.DROP(_xlpm.colSite,_xlpm.rowRegion),0),
INDEX(_xlpm.colData,_xlpm.rowRegion+_xlpm.rowUser))</f>
        <v>800</v>
      </c>
      <c r="X22" s="124">
        <f>_xlfn.LET(
    _xlpm.data, 'Base Stations Profiles'!$B:$U,
    _xlpm.colSite, INDEX(_xlpm.data,,1),
    _xlpm.colauto, INDEX(_xlpm.data,,3),
    _xlpm.colData, INDEX(_xlpm.data,,2),
    _xlpm.rowRegion, MATCH(Q22, _xlpm.colSite, 0),
    _xlpm.rowThroughput, MATCH("Maximum Throughput for Downlink per Site", _xlfn.DROP(_xlpm.colSite, _xlpm.rowRegion), 0),
    IF(INDEX(_xlpm.colauto, _xlpm.rowRegion + _xlpm.rowThroughput)='Model Configurator Sup'!$M$4,VLOOKUP(Q22,'Base Stations Parameters'!$B:$T,4,0),INDEX(_xlpm.colData, _xlpm.rowRegion + _xlpm.rowThroughput))
)</f>
        <v>1200</v>
      </c>
      <c r="Y22" s="106">
        <f ca="1">IF($V22&lt;=0,0,T22/(W22*$V22))</f>
        <v>0.78950483091787438</v>
      </c>
      <c r="Z22" s="106">
        <f ca="1">IF($V22&lt;=0,0,U22/(X22*$V22))</f>
        <v>0.15371784794630697</v>
      </c>
      <c r="AA22" s="130">
        <f>VLOOKUP(Q22,'Base Stations Parameters'!$B:$S,3,0)</f>
        <v>60000</v>
      </c>
      <c r="AB22">
        <f ca="1">ROUNDUP(MAX(T22/W22-V22,U22/X22-V22,0),0)</f>
        <v>0</v>
      </c>
      <c r="AC22" s="130">
        <f ca="1">AB22*AA22</f>
        <v>0</v>
      </c>
      <c r="AF22" s="69" t="s">
        <v>173</v>
      </c>
      <c r="AH22" s="125">
        <v>0.05</v>
      </c>
      <c r="AI22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)*AH22,0)</f>
        <v>331914</v>
      </c>
      <c r="AJ22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)*AH22</f>
        <v>77526.873894521734</v>
      </c>
      <c r="AK22" s="105">
        <f>INDEX('Sites per Region'!$A:$BD, MATCH(AF22,'Sites per Region'!$B:$B,0), MATCH(AG$9,'Sites per Region'!$8:$8, 0))</f>
        <v>310.5</v>
      </c>
      <c r="AL22" s="105">
        <f>_xlfn.LET(
_xlpm.data,'Base Stations Profiles'!$B:$AI,
_xlpm.colSite,INDEX(_xlpm.data,,1),
_xlpm.colData,INDEX(_xlpm.data,,2),
_xlpm.rowRegion,MATCH(AF22,_xlpm.colSite,0),
_xlpm.rowUser,MATCH("Maximum Simultaneously Active Users per Site",_xlfn.DROP(_xlpm.colSite,_xlpm.rowRegion),0),
INDEX(_xlpm.colData,_xlpm.rowRegion+_xlpm.rowUser))</f>
        <v>800</v>
      </c>
      <c r="AM22" s="124">
        <f>_xlfn.LET(
    _xlpm.data, 'Base Stations Profiles'!$B:$AJ,
    _xlpm.colSite, INDEX(_xlpm.data,,1),
    _xlpm.colauto, INDEX(_xlpm.data,,3),
    _xlpm.colData, INDEX(_xlpm.data,,2),
    _xlpm.rowRegion, MATCH(AF22, _xlpm.colSite, 0),
    _xlpm.rowThroughput, MATCH("Maximum Throughput for Downlink per Site", _xlfn.DROP(_xlpm.colSite, _xlpm.rowRegion), 0),
    IF(INDEX(_xlpm.colauto, _xlpm.rowRegion + _xlpm.rowThroughput)='Model Configurator Sup'!$M$4,VLOOKUP(AF22,'Base Stations Parameters'!$B:$AI,4,0),INDEX(_xlpm.colData, _xlpm.rowRegion + _xlpm.rowThroughput))
)</f>
        <v>1200</v>
      </c>
      <c r="AN22" s="106">
        <f ca="1">IF($AK22&lt;=0,0,AI22/(AL22*$AK22))</f>
        <v>1.336207729468599</v>
      </c>
      <c r="AO22" s="106">
        <f ca="1">IF($AK22&lt;=0,0,AJ22/(AM22*$AK22))</f>
        <v>0.20806997824616677</v>
      </c>
      <c r="AP22" s="130">
        <f>VLOOKUP(AF22,'Base Stations Parameters'!$B:$AH,3,0)</f>
        <v>60000</v>
      </c>
      <c r="AQ22">
        <f ca="1">ROUNDUP(MAX(AI22/AL22-AK22,AJ22/AM22-AK22,0),0)</f>
        <v>105</v>
      </c>
      <c r="AR22" s="130">
        <f ca="1">AQ22*AP22</f>
        <v>6300000</v>
      </c>
    </row>
    <row r="23" spans="2:44" ht="15.75" customHeight="1" thickBot="1" x14ac:dyDescent="0.3">
      <c r="B23" s="69" t="s">
        <v>250</v>
      </c>
      <c r="D23" s="125">
        <v>2.5000000000000001E-2</v>
      </c>
      <c r="E23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)*D23,0)</f>
        <v>81624</v>
      </c>
      <c r="F23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)*D23</f>
        <v>25970.881663629592</v>
      </c>
      <c r="G23" s="105">
        <f>INDEX('Sites per Region'!$A:$Z, MATCH(B23,'Sites per Region'!$B:$B,0), MATCH(C$9,'Sites per Region'!$8:$8, 0))</f>
        <v>327.5</v>
      </c>
      <c r="H23" s="105">
        <f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>
        <f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300</v>
      </c>
      <c r="J23" s="106">
        <f ca="1">IF($G23&lt;=0,0,E23/(H23*$G23))</f>
        <v>0.62308396946564881</v>
      </c>
      <c r="K23" s="106">
        <f ca="1">IF($G23&lt;=0,0,F23/(I23*$G23))</f>
        <v>0.26433467342116634</v>
      </c>
      <c r="L23" s="130">
        <f>VLOOKUP(B23,'Base Stations Parameters'!$B:$D,3,0)</f>
        <v>60000</v>
      </c>
      <c r="M23">
        <f ca="1">ROUNDUP(MAX(E23/H23-G23,F23/I23-G23,0),0)</f>
        <v>0</v>
      </c>
      <c r="N23" s="130">
        <f ca="1">M23*L23</f>
        <v>0</v>
      </c>
      <c r="Q23" s="69" t="s">
        <v>250</v>
      </c>
      <c r="S23" s="125">
        <v>2.5000000000000001E-2</v>
      </c>
      <c r="T23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)*S23,0)</f>
        <v>98056</v>
      </c>
      <c r="U23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)*S23</f>
        <v>28637.635072396988</v>
      </c>
      <c r="V23" s="105">
        <f>INDEX('Sites per Region'!$A:$AO, MATCH(Q23,'Sites per Region'!$B:$B,0), MATCH(R$9,'Sites per Region'!$8:$8, 0))</f>
        <v>327.5</v>
      </c>
      <c r="W23" s="105">
        <f>_xlfn.LET(
_xlpm.data,'Base Stations Profiles'!$B:$T,
_xlpm.colSite,INDEX(_xlpm.data,,1),
_xlpm.colData,INDEX(_xlpm.data,,2),
_xlpm.rowRegion,MATCH(Q23,_xlpm.colSite,0),
_xlpm.rowUser,MATCH("Maximum Simultaneously Active Users per Site",_xlfn.DROP(_xlpm.colSite,_xlpm.rowRegion),0),
INDEX(_xlpm.colData,_xlpm.rowRegion+_xlpm.rowUser))</f>
        <v>400</v>
      </c>
      <c r="X23" s="124">
        <f>_xlfn.LET(
    _xlpm.data, 'Base Stations Profiles'!$B:$U,
    _xlpm.colSite, INDEX(_xlpm.data,,1),
    _xlpm.colauto, INDEX(_xlpm.data,,3),
    _xlpm.colData, INDEX(_xlpm.data,,2),
    _xlpm.rowRegion, MATCH(Q23, _xlpm.colSite, 0),
    _xlpm.rowThroughput, MATCH("Maximum Throughput for Downlink per Site", _xlfn.DROP(_xlpm.colSite, _xlpm.rowRegion), 0),
    IF(INDEX(_xlpm.colauto, _xlpm.rowRegion + _xlpm.rowThroughput)='Model Configurator Sup'!$M$4,VLOOKUP(Q23,'Base Stations Parameters'!$B:$T,4,0),INDEX(_xlpm.colData, _xlpm.rowRegion + _xlpm.rowThroughput))
)</f>
        <v>300</v>
      </c>
      <c r="Y23" s="106">
        <f ca="1">IF($V23&lt;=0,0,T23/(W23*$V23))</f>
        <v>0.74851908396946565</v>
      </c>
      <c r="Z23" s="106">
        <f ca="1">IF($V23&lt;=0,0,U23/(X23*$V23))</f>
        <v>0.29147720175467673</v>
      </c>
      <c r="AA23" s="130">
        <f>VLOOKUP(Q23,'Base Stations Parameters'!$B:$S,3,0)</f>
        <v>60000</v>
      </c>
      <c r="AB23">
        <f ca="1">ROUNDUP(MAX(T23/W23-V23,U23/X23-V23,0),0)</f>
        <v>0</v>
      </c>
      <c r="AC23" s="130">
        <f ca="1">AB23*AA23</f>
        <v>0</v>
      </c>
      <c r="AF23" s="69" t="s">
        <v>250</v>
      </c>
      <c r="AH23" s="125">
        <v>2.5000000000000001E-2</v>
      </c>
      <c r="AI23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)*AH23,0)</f>
        <v>165957</v>
      </c>
      <c r="AJ23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)*AH23</f>
        <v>38763.436947260867</v>
      </c>
      <c r="AK23" s="105">
        <f>INDEX('Sites per Region'!$A:$BD, MATCH(AF23,'Sites per Region'!$B:$B,0), MATCH(AG$9,'Sites per Region'!$8:$8, 0))</f>
        <v>327.5</v>
      </c>
      <c r="AL23" s="105">
        <f>_xlfn.LET(
_xlpm.data,'Base Stations Profiles'!$B:$AI,
_xlpm.colSite,INDEX(_xlpm.data,,1),
_xlpm.colData,INDEX(_xlpm.data,,2),
_xlpm.rowRegion,MATCH(AF23,_xlpm.colSite,0),
_xlpm.rowUser,MATCH("Maximum Simultaneously Active Users per Site",_xlfn.DROP(_xlpm.colSite,_xlpm.rowRegion),0),
INDEX(_xlpm.colData,_xlpm.rowRegion+_xlpm.rowUser))</f>
        <v>400</v>
      </c>
      <c r="AM23" s="124">
        <f>_xlfn.LET(
    _xlpm.data, 'Base Stations Profiles'!$B:$AJ,
    _xlpm.colSite, INDEX(_xlpm.data,,1),
    _xlpm.colauto, INDEX(_xlpm.data,,3),
    _xlpm.colData, INDEX(_xlpm.data,,2),
    _xlpm.rowRegion, MATCH(AF23, _xlpm.colSite, 0),
    _xlpm.rowThroughput, MATCH("Maximum Throughput for Downlink per Site", _xlfn.DROP(_xlpm.colSite, _xlpm.rowRegion), 0),
    IF(INDEX(_xlpm.colauto, _xlpm.rowRegion + _xlpm.rowThroughput)='Model Configurator Sup'!$M$4,VLOOKUP(AF23,'Base Stations Parameters'!$B:$AI,4,0),INDEX(_xlpm.colData, _xlpm.rowRegion + _xlpm.rowThroughput))
)</f>
        <v>300</v>
      </c>
      <c r="AN23" s="106">
        <f ca="1">IF($AK23&lt;=0,0,AI23/(AL23*$AK23))</f>
        <v>1.2668473282442747</v>
      </c>
      <c r="AO23" s="106">
        <f ca="1">IF($AK23&lt;=0,0,AJ23/(AM23*$AK23))</f>
        <v>0.39453879844540324</v>
      </c>
      <c r="AP23" s="130">
        <f>VLOOKUP(AF23,'Base Stations Parameters'!$B:$AH,3,0)</f>
        <v>60000</v>
      </c>
      <c r="AQ23">
        <f ca="1">ROUNDUP(MAX(AI23/AL23-AK23,AJ23/AM23-AK23,0),0)</f>
        <v>88</v>
      </c>
      <c r="AR23" s="130">
        <f ca="1">AQ23*AP23</f>
        <v>5280000</v>
      </c>
    </row>
    <row r="24" spans="2:44" ht="15.75" customHeight="1" thickBot="1" x14ac:dyDescent="0.3">
      <c r="B24" s="69" t="s">
        <v>174</v>
      </c>
      <c r="D24" s="125">
        <v>2.5000000000000001E-2</v>
      </c>
      <c r="E24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)*D24,0)</f>
        <v>81624</v>
      </c>
      <c r="F24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)*D24</f>
        <v>25970.881663629592</v>
      </c>
      <c r="G24" s="105">
        <f>INDEX('Sites per Region'!$A:$Z, MATCH(B24,'Sites per Region'!$B:$B,0), MATCH(C$9,'Sites per Region'!$8:$8, 0))</f>
        <v>327.5</v>
      </c>
      <c r="H24" s="105">
        <f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>
        <f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ca="1">IF($G24&lt;=0,0,E24/(H24*$G24))</f>
        <v>0.62308396946564881</v>
      </c>
      <c r="K24" s="106">
        <f ca="1">IF($G24&lt;=0,0,F24/(I24*$G24))</f>
        <v>0.26433467342116634</v>
      </c>
      <c r="L24" s="130">
        <f>VLOOKUP(B24,'Base Stations Parameters'!$B:$D,3,0)</f>
        <v>0</v>
      </c>
      <c r="M24">
        <f ca="1">ROUNDUP(MAX(E24/H24-G24,F24/I24-G24,0),0)</f>
        <v>0</v>
      </c>
      <c r="N24" s="130">
        <f ca="1">M24*L24</f>
        <v>0</v>
      </c>
      <c r="Q24" s="69" t="s">
        <v>174</v>
      </c>
      <c r="S24" s="125">
        <v>2.5000000000000001E-2</v>
      </c>
      <c r="T24" s="123">
        <f ca="1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)*S24,0)</f>
        <v>98056</v>
      </c>
      <c r="U24" s="122">
        <f ca="1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)*S24</f>
        <v>28637.635072396988</v>
      </c>
      <c r="V24" s="105">
        <f>INDEX('Sites per Region'!$A:$AO, MATCH(Q24,'Sites per Region'!$B:$B,0), MATCH(R$9,'Sites per Region'!$8:$8, 0))</f>
        <v>327.5</v>
      </c>
      <c r="W24" s="105">
        <f>_xlfn.LET(
_xlpm.data,'Base Stations Profiles'!$B:$T,
_xlpm.colSite,INDEX(_xlpm.data,,1),
_xlpm.colData,INDEX(_xlpm.data,,2),
_xlpm.rowRegion,MATCH(Q24,_xlpm.colSite,0),
_xlpm.rowUser,MATCH("Maximum Simultaneously Active Users per Site",_xlfn.DROP(_xlpm.colSite,_xlpm.rowRegion),0),
INDEX(_xlpm.colData,_xlpm.rowRegion+_xlpm.rowUser))</f>
        <v>400</v>
      </c>
      <c r="X24" s="124">
        <f>_xlfn.LET(
    _xlpm.data, 'Base Stations Profiles'!$B:$U,
    _xlpm.colSite, INDEX(_xlpm.data,,1),
    _xlpm.colauto, INDEX(_xlpm.data,,3),
    _xlpm.colData, INDEX(_xlpm.data,,2),
    _xlpm.rowRegion, MATCH(Q24, _xlpm.colSite, 0),
    _xlpm.rowThroughput, MATCH("Maximum Throughput for Downlink per Site", _xlfn.DROP(_xlpm.colSite, _xlpm.rowRegion), 0),
    IF(INDEX(_xlpm.colauto, _xlpm.rowRegion + _xlpm.rowThroughput)='Model Configurator Sup'!$M$4,VLOOKUP(Q24,'Base Stations Parameters'!$B:$T,4,0),INDEX(_xlpm.colData, _xlpm.rowRegion + _xlpm.rowThroughput))
)</f>
        <v>300</v>
      </c>
      <c r="Y24" s="106">
        <f ca="1">IF($V24&lt;=0,0,T24/(W24*$V24))</f>
        <v>0.74851908396946565</v>
      </c>
      <c r="Z24" s="106">
        <f ca="1">IF($V24&lt;=0,0,U24/(X24*$V24))</f>
        <v>0.29147720175467673</v>
      </c>
      <c r="AA24" s="130">
        <f>VLOOKUP(Q24,'Base Stations Parameters'!$B:$S,3,0)</f>
        <v>0</v>
      </c>
      <c r="AB24">
        <f ca="1">ROUNDUP(MAX(T24/W24-V24,U24/X24-V24,0),0)</f>
        <v>0</v>
      </c>
      <c r="AC24" s="130">
        <f ca="1">AB24*AA24</f>
        <v>0</v>
      </c>
      <c r="AF24" s="69" t="s">
        <v>174</v>
      </c>
      <c r="AH24" s="125">
        <v>2.5000000000000001E-2</v>
      </c>
      <c r="AI24" s="123">
        <f ca="1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)*AH24,0)</f>
        <v>165957</v>
      </c>
      <c r="AJ24" s="122">
        <f ca="1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)*AH24</f>
        <v>38763.436947260867</v>
      </c>
      <c r="AK24" s="105">
        <f>INDEX('Sites per Region'!$A:$BD, MATCH(AF24,'Sites per Region'!$B:$B,0), MATCH(AG$9,'Sites per Region'!$8:$8, 0))</f>
        <v>327.5</v>
      </c>
      <c r="AL24" s="105">
        <f>_xlfn.LET(
_xlpm.data,'Base Stations Profiles'!$B:$AI,
_xlpm.colSite,INDEX(_xlpm.data,,1),
_xlpm.colData,INDEX(_xlpm.data,,2),
_xlpm.rowRegion,MATCH(AF24,_xlpm.colSite,0),
_xlpm.rowUser,MATCH("Maximum Simultaneously Active Users per Site",_xlfn.DROP(_xlpm.colSite,_xlpm.rowRegion),0),
INDEX(_xlpm.colData,_xlpm.rowRegion+_xlpm.rowUser))</f>
        <v>400</v>
      </c>
      <c r="AM24" s="124">
        <f>_xlfn.LET(
    _xlpm.data, 'Base Stations Profiles'!$B:$AJ,
    _xlpm.colSite, INDEX(_xlpm.data,,1),
    _xlpm.colauto, INDEX(_xlpm.data,,3),
    _xlpm.colData, INDEX(_xlpm.data,,2),
    _xlpm.rowRegion, MATCH(AF24, _xlpm.colSite, 0),
    _xlpm.rowThroughput, MATCH("Maximum Throughput for Downlink per Site", _xlfn.DROP(_xlpm.colSite, _xlpm.rowRegion), 0),
    IF(INDEX(_xlpm.colauto, _xlpm.rowRegion + _xlpm.rowThroughput)='Model Configurator Sup'!$M$4,VLOOKUP(AF24,'Base Stations Parameters'!$B:$AI,4,0),INDEX(_xlpm.colData, _xlpm.rowRegion + _xlpm.rowThroughput))
)</f>
        <v>300</v>
      </c>
      <c r="AN24" s="106">
        <f ca="1">IF($AK24&lt;=0,0,AI24/(AL24*$AK24))</f>
        <v>1.2668473282442747</v>
      </c>
      <c r="AO24" s="106">
        <f ca="1">IF($AK24&lt;=0,0,AJ24/(AM24*$AK24))</f>
        <v>0.39453879844540324</v>
      </c>
      <c r="AP24" s="130">
        <f>VLOOKUP(AF24,'Base Stations Parameters'!$B:$AH,3,0)</f>
        <v>0</v>
      </c>
      <c r="AQ24">
        <f ca="1">ROUNDUP(MAX(AI24/AL24-AK24,AJ24/AM24-AK24,0),0)</f>
        <v>88</v>
      </c>
      <c r="AR24" s="130">
        <f ca="1">AQ24*AP24</f>
        <v>0</v>
      </c>
    </row>
    <row r="25" spans="2:44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2695000</v>
      </c>
      <c r="Q25" s="116" t="s">
        <v>182</v>
      </c>
      <c r="S25" s="126">
        <f>SUM(S13:S24)</f>
        <v>1</v>
      </c>
      <c r="T25" s="127">
        <f ca="1">SUM(T13:T24)</f>
        <v>3922268</v>
      </c>
      <c r="U25" s="128">
        <f ca="1">SUM(U13:U24)</f>
        <v>1145505.4028958797</v>
      </c>
      <c r="W25" s="113"/>
      <c r="X25" s="115"/>
      <c r="AA25" s="115"/>
      <c r="AB25" s="129">
        <f ca="1">SUM(AB13:AB24)</f>
        <v>238</v>
      </c>
      <c r="AC25" s="131">
        <f ca="1">SUM(AC13:AC24)</f>
        <v>27055000</v>
      </c>
      <c r="AF25" s="116" t="s">
        <v>182</v>
      </c>
      <c r="AH25" s="126">
        <f>SUM(AH13:AH24)</f>
        <v>1</v>
      </c>
      <c r="AI25" s="127">
        <f ca="1">SUM(AI13:AI24)</f>
        <v>6638280</v>
      </c>
      <c r="AJ25" s="128">
        <f ca="1">SUM(AJ13:AJ24)</f>
        <v>1550537.4778904347</v>
      </c>
      <c r="AL25" s="113"/>
      <c r="AM25" s="115"/>
      <c r="AP25" s="115"/>
      <c r="AQ25" s="129">
        <f ca="1">SUM(AQ13:AQ24)</f>
        <v>1874</v>
      </c>
      <c r="AR25" s="131">
        <f ca="1">SUM(AR13:AR24)</f>
        <v>192710000</v>
      </c>
    </row>
    <row r="27" spans="2:44" ht="15" customHeight="1" x14ac:dyDescent="0.25">
      <c r="C27">
        <v>2023</v>
      </c>
      <c r="R27">
        <v>2025</v>
      </c>
      <c r="AG27">
        <v>2030</v>
      </c>
    </row>
    <row r="28" spans="2:44" ht="20.100000000000001" customHeight="1" x14ac:dyDescent="0.25">
      <c r="C28" s="102" t="s">
        <v>11</v>
      </c>
      <c r="R28" s="102" t="s">
        <v>11</v>
      </c>
      <c r="AG28" s="102" t="s">
        <v>11</v>
      </c>
    </row>
    <row r="29" spans="2:44" ht="15" customHeight="1" thickBot="1" x14ac:dyDescent="0.3"/>
    <row r="30" spans="2:44" ht="15" customHeight="1" thickBot="1" x14ac:dyDescent="0.3">
      <c r="B30" s="138" t="s">
        <v>143</v>
      </c>
      <c r="C30" s="117"/>
      <c r="D30" s="152" t="s">
        <v>203</v>
      </c>
      <c r="E30" s="142" t="s">
        <v>218</v>
      </c>
      <c r="F30" s="144"/>
      <c r="G30" s="152" t="s">
        <v>215</v>
      </c>
      <c r="H30" s="142" t="s">
        <v>217</v>
      </c>
      <c r="I30" s="144"/>
      <c r="J30" s="142" t="s">
        <v>184</v>
      </c>
      <c r="K30" s="144"/>
      <c r="L30" s="142" t="s">
        <v>131</v>
      </c>
      <c r="M30" s="143"/>
      <c r="N30" s="144"/>
      <c r="Q30" s="138" t="s">
        <v>143</v>
      </c>
      <c r="R30" s="117"/>
      <c r="S30" s="152" t="s">
        <v>203</v>
      </c>
      <c r="T30" s="142" t="s">
        <v>218</v>
      </c>
      <c r="U30" s="144"/>
      <c r="V30" s="152" t="s">
        <v>215</v>
      </c>
      <c r="W30" s="142" t="s">
        <v>217</v>
      </c>
      <c r="X30" s="144"/>
      <c r="Y30" s="142" t="s">
        <v>184</v>
      </c>
      <c r="Z30" s="144"/>
      <c r="AA30" s="142" t="s">
        <v>131</v>
      </c>
      <c r="AB30" s="143"/>
      <c r="AC30" s="144"/>
      <c r="AF30" s="138" t="s">
        <v>143</v>
      </c>
      <c r="AG30" s="117"/>
      <c r="AH30" s="152" t="s">
        <v>203</v>
      </c>
      <c r="AI30" s="142" t="s">
        <v>218</v>
      </c>
      <c r="AJ30" s="144"/>
      <c r="AK30" s="152" t="s">
        <v>215</v>
      </c>
      <c r="AL30" s="142" t="s">
        <v>217</v>
      </c>
      <c r="AM30" s="144"/>
      <c r="AN30" s="142" t="s">
        <v>184</v>
      </c>
      <c r="AO30" s="144"/>
      <c r="AP30" s="142" t="s">
        <v>131</v>
      </c>
      <c r="AQ30" s="143"/>
      <c r="AR30" s="144"/>
    </row>
    <row r="31" spans="2:44" ht="30.75" customHeight="1" thickBot="1" x14ac:dyDescent="0.3">
      <c r="B31" s="139"/>
      <c r="C31" s="117"/>
      <c r="D31" s="153"/>
      <c r="E31" s="10" t="s">
        <v>185</v>
      </c>
      <c r="F31" s="10" t="s">
        <v>204</v>
      </c>
      <c r="G31" s="153"/>
      <c r="H31" s="10" t="s">
        <v>185</v>
      </c>
      <c r="I31" s="10" t="s">
        <v>204</v>
      </c>
      <c r="J31" s="10" t="s">
        <v>185</v>
      </c>
      <c r="K31" s="10" t="s">
        <v>204</v>
      </c>
      <c r="L31" s="10" t="s">
        <v>243</v>
      </c>
      <c r="M31" s="10" t="s">
        <v>195</v>
      </c>
      <c r="N31" s="10" t="s">
        <v>244</v>
      </c>
      <c r="Q31" s="139"/>
      <c r="R31" s="117"/>
      <c r="S31" s="153"/>
      <c r="T31" s="10" t="s">
        <v>185</v>
      </c>
      <c r="U31" s="10" t="s">
        <v>204</v>
      </c>
      <c r="V31" s="153"/>
      <c r="W31" s="10" t="s">
        <v>185</v>
      </c>
      <c r="X31" s="10" t="s">
        <v>204</v>
      </c>
      <c r="Y31" s="10" t="s">
        <v>185</v>
      </c>
      <c r="Z31" s="10" t="s">
        <v>204</v>
      </c>
      <c r="AA31" s="10" t="s">
        <v>243</v>
      </c>
      <c r="AB31" s="10" t="s">
        <v>195</v>
      </c>
      <c r="AC31" s="10" t="s">
        <v>244</v>
      </c>
      <c r="AF31" s="139"/>
      <c r="AG31" s="117"/>
      <c r="AH31" s="153"/>
      <c r="AI31" s="10" t="s">
        <v>185</v>
      </c>
      <c r="AJ31" s="10" t="s">
        <v>204</v>
      </c>
      <c r="AK31" s="153"/>
      <c r="AL31" s="10" t="s">
        <v>185</v>
      </c>
      <c r="AM31" s="10" t="s">
        <v>204</v>
      </c>
      <c r="AN31" s="10" t="s">
        <v>185</v>
      </c>
      <c r="AO31" s="10" t="s">
        <v>204</v>
      </c>
      <c r="AP31" s="10" t="s">
        <v>243</v>
      </c>
      <c r="AQ31" s="10" t="s">
        <v>195</v>
      </c>
      <c r="AR31" s="10" t="s">
        <v>244</v>
      </c>
    </row>
    <row r="32" spans="2:44" ht="15.75" customHeight="1" thickBot="1" x14ac:dyDescent="0.3">
      <c r="B32" s="69" t="s">
        <v>245</v>
      </c>
      <c r="D32" s="125">
        <v>0.15</v>
      </c>
      <c r="E32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)*D32,0)</f>
        <v>92319</v>
      </c>
      <c r="F32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)*D32</f>
        <v>28602.425127464227</v>
      </c>
      <c r="G32" s="105">
        <f>INDEX('Sites per Region'!$A:$Z, MATCH(B32,'Sites per Region'!$B:$B,0), MATCH(C$28,'Sites per Region'!$8:$8, 0))</f>
        <v>43</v>
      </c>
      <c r="H32" s="105">
        <f>_xlfn.LET(
_xlpm.data,'Base Stations Profiles'!$B:$E,
_xlpm.colSite,INDEX(_xlpm.data,,1),
_xlpm.colData,INDEX(_xlpm.data,,2),
_xlpm.rowRegion,MATCH(B32,_xlpm.colSite,0),
_xlpm.rowUser,MATCH("Maximum Simultaneously Active Users per Site",_xlfn.DROP(_xlpm.colSite,_xlpm.rowRegion),0),
INDEX(_xlpm.colData,_xlpm.rowRegion+_xlpm.rowUser))</f>
        <v>2500</v>
      </c>
      <c r="I32" s="124">
        <f>_xlfn.LET(
    _xlpm.data, 'Base Stations Profiles'!$B:$F,
    _xlpm.colSite, INDEX(_xlpm.data,,1),
    _xlpm.colauto, INDEX(_xlpm.data,,3),
    _xlpm.colData, INDEX(_xlpm.data,,2),
    _xlpm.rowRegion, MATCH(B32, _xlpm.colSite, 0),
    _xlpm.rowThroughput, MATCH("Maximum Throughput for Downlink per Site", _xlfn.DROP(_xlpm.colSite, _xlpm.rowRegion), 0),
    IF(INDEX(_xlpm.colauto, _xlpm.rowRegion + _xlpm.rowThroughput)='Model Configurator Sup'!$M$4,VLOOKUP(B32,'Base Stations Parameters'!$B:$E,4,0),INDEX(_xlpm.colData, _xlpm.rowRegion + _xlpm.rowThroughput))
)</f>
        <v>17000</v>
      </c>
      <c r="J32" s="106">
        <f ca="1">IF($G32&lt;=0,0,E32/(H32*$G32))</f>
        <v>0.85878139534883724</v>
      </c>
      <c r="K32" s="106">
        <f ca="1">IF($G32&lt;=0,0,F32/(I32*$G32))</f>
        <v>3.9127804551934646E-2</v>
      </c>
      <c r="L32" s="130">
        <f>VLOOKUP(B32,'Base Stations Parameters'!$B:$D,3,0)</f>
        <v>175000</v>
      </c>
      <c r="M32">
        <f ca="1">ROUNDUP(MAX(E32/H32-G32,F32/I32-G32,0),0)</f>
        <v>0</v>
      </c>
      <c r="N32" s="130">
        <f ca="1">M32*L32</f>
        <v>0</v>
      </c>
      <c r="Q32" s="69" t="s">
        <v>245</v>
      </c>
      <c r="S32" s="125">
        <v>0.15</v>
      </c>
      <c r="T32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)*S32,0)</f>
        <v>110880</v>
      </c>
      <c r="U32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)*S32</f>
        <v>31348.134361226606</v>
      </c>
      <c r="V32" s="105">
        <f>INDEX('Sites per Region'!$A:$AO, MATCH(Q32,'Sites per Region'!$B:$B,0), MATCH(R$28,'Sites per Region'!$8:$8, 0))</f>
        <v>43</v>
      </c>
      <c r="W32" s="105">
        <f>_xlfn.LET(
_xlpm.data,'Base Stations Profiles'!$B:$T,
_xlpm.colSite,INDEX(_xlpm.data,,1),
_xlpm.colData,INDEX(_xlpm.data,,2),
_xlpm.rowRegion,MATCH(Q32,_xlpm.colSite,0),
_xlpm.rowUser,MATCH("Maximum Simultaneously Active Users per Site",_xlfn.DROP(_xlpm.colSite,_xlpm.rowRegion),0),
INDEX(_xlpm.colData,_xlpm.rowRegion+_xlpm.rowUser))</f>
        <v>2500</v>
      </c>
      <c r="X32" s="124">
        <f>_xlfn.LET(
    _xlpm.data, 'Base Stations Profiles'!$B:$U,
    _xlpm.colSite, INDEX(_xlpm.data,,1),
    _xlpm.colauto, INDEX(_xlpm.data,,3),
    _xlpm.colData, INDEX(_xlpm.data,,2),
    _xlpm.rowRegion, MATCH(Q32, _xlpm.colSite, 0),
    _xlpm.rowThroughput, MATCH("Maximum Throughput for Downlink per Site", _xlfn.DROP(_xlpm.colSite, _xlpm.rowRegion), 0),
    IF(INDEX(_xlpm.colauto, _xlpm.rowRegion + _xlpm.rowThroughput)='Model Configurator Sup'!$M$4,VLOOKUP(Q32,'Base Stations Parameters'!$B:$T,4,0),INDEX(_xlpm.colData, _xlpm.rowRegion + _xlpm.rowThroughput))
)</f>
        <v>17000</v>
      </c>
      <c r="Y32" s="106">
        <f ca="1">IF($V32&lt;=0,0,T32/(W32*$V32))</f>
        <v>1.0314418604651163</v>
      </c>
      <c r="Z32" s="106">
        <f ca="1">IF($V32&lt;=0,0,U32/(X32*$V32))</f>
        <v>4.2883904734920118E-2</v>
      </c>
      <c r="AA32" s="130">
        <f>VLOOKUP(Q32,'Base Stations Parameters'!$B:$S,3,0)</f>
        <v>175000</v>
      </c>
      <c r="AB32">
        <f ca="1">ROUNDUP(MAX(T32/W32-V32,U32/X32-V32,0),0)</f>
        <v>2</v>
      </c>
      <c r="AC32" s="130">
        <f ca="1">AB32*AA32</f>
        <v>350000</v>
      </c>
      <c r="AF32" s="69" t="s">
        <v>245</v>
      </c>
      <c r="AH32" s="125">
        <v>0.15</v>
      </c>
      <c r="AI32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)*AH32,0)</f>
        <v>187556</v>
      </c>
      <c r="AJ32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)*AH32</f>
        <v>41640.305837200554</v>
      </c>
      <c r="AK32" s="105">
        <f>INDEX('Sites per Region'!$A:$BD, MATCH(AF32,'Sites per Region'!$B:$B,0), MATCH(AG$28,'Sites per Region'!$8:$8, 0))</f>
        <v>43</v>
      </c>
      <c r="AL32" s="105">
        <f>_xlfn.LET(
_xlpm.data,'Base Stations Profiles'!$B:$AI,
_xlpm.colSite,INDEX(_xlpm.data,,1),
_xlpm.colData,INDEX(_xlpm.data,,2),
_xlpm.rowRegion,MATCH(AF32,_xlpm.colSite,0),
_xlpm.rowUser,MATCH("Maximum Simultaneously Active Users per Site",_xlfn.DROP(_xlpm.colSite,_xlpm.rowRegion),0),
INDEX(_xlpm.colData,_xlpm.rowRegion+_xlpm.rowUser))</f>
        <v>2500</v>
      </c>
      <c r="AM32" s="124">
        <f>_xlfn.LET(
    _xlpm.data, 'Base Stations Profiles'!$B:$AJ,
    _xlpm.colSite, INDEX(_xlpm.data,,1),
    _xlpm.colauto, INDEX(_xlpm.data,,3),
    _xlpm.colData, INDEX(_xlpm.data,,2),
    _xlpm.rowRegion, MATCH(AF32, _xlpm.colSite, 0),
    _xlpm.rowThroughput, MATCH("Maximum Throughput for Downlink per Site", _xlfn.DROP(_xlpm.colSite, _xlpm.rowRegion), 0),
    IF(INDEX(_xlpm.colauto, _xlpm.rowRegion + _xlpm.rowThroughput)='Model Configurator Sup'!$M$4,VLOOKUP(AF32,'Base Stations Parameters'!$B:$AI,4,0),INDEX(_xlpm.colData, _xlpm.rowRegion + _xlpm.rowThroughput))
)</f>
        <v>17000</v>
      </c>
      <c r="AN32" s="106">
        <f ca="1">IF($AK32&lt;=0,0,AI32/(AL32*$AK32))</f>
        <v>1.7447069767441861</v>
      </c>
      <c r="AO32" s="106">
        <f ca="1">IF($AK32&lt;=0,0,AJ32/(AM32*$AK32))</f>
        <v>5.6963482677428942E-2</v>
      </c>
      <c r="AP32" s="130">
        <f>VLOOKUP(AF32,'Base Stations Parameters'!$B:$AH,3,0)</f>
        <v>175000</v>
      </c>
      <c r="AQ32">
        <f ca="1">ROUNDUP(MAX(AI32/AL32-AK32,AJ32/AM32-AK32,0),0)</f>
        <v>33</v>
      </c>
      <c r="AR32" s="130">
        <f ca="1">AQ32*AP32</f>
        <v>5775000</v>
      </c>
    </row>
    <row r="33" spans="2:44" ht="15.75" customHeight="1" thickBot="1" x14ac:dyDescent="0.3">
      <c r="B33" s="69" t="s">
        <v>169</v>
      </c>
      <c r="D33" s="125">
        <v>0.15</v>
      </c>
      <c r="E33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)*D33,0)</f>
        <v>92319</v>
      </c>
      <c r="F33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)*D33</f>
        <v>28602.425127464227</v>
      </c>
      <c r="G33" s="105">
        <f>INDEX('Sites per Region'!$A:$Z, MATCH(B33,'Sites per Region'!$B:$B,0), MATCH(C$28,'Sites per Region'!$8:$8, 0))</f>
        <v>43</v>
      </c>
      <c r="H33" s="105">
        <f>_xlfn.LET(
_xlpm.data,'Base Stations Profiles'!$B:$E,
_xlpm.colSite,INDEX(_xlpm.data,,1),
_xlpm.colData,INDEX(_xlpm.data,,2),
_xlpm.rowRegion,MATCH(B33,_xlpm.colSite,0),
_xlpm.rowUser,MATCH("Maximum Simultaneously Active Users per Site",_xlfn.DROP(_xlpm.colSite,_xlpm.rowRegion),0),
INDEX(_xlpm.colData,_xlpm.rowRegion+_xlpm.rowUser))</f>
        <v>2500</v>
      </c>
      <c r="I33" s="124">
        <f>_xlfn.LET(
    _xlpm.data, 'Base Stations Profiles'!$B:$F,
    _xlpm.colSite, INDEX(_xlpm.data,,1),
    _xlpm.colauto, INDEX(_xlpm.data,,3),
    _xlpm.colData, INDEX(_xlpm.data,,2),
    _xlpm.rowRegion, MATCH(B33, _xlpm.colSite, 0),
    _xlpm.rowThroughput, MATCH("Maximum Throughput for Downlink per Site", _xlfn.DROP(_xlpm.colSite, _xlpm.rowRegion), 0),
    IF(INDEX(_xlpm.colauto, _xlpm.rowRegion + _xlpm.rowThroughput)='Model Configurator Sup'!$M$4,VLOOKUP(B33,'Base Stations Parameters'!$B:$E,4,0),INDEX(_xlpm.colData, _xlpm.rowRegion + _xlpm.rowThroughput))
)</f>
        <v>17000</v>
      </c>
      <c r="J33" s="106">
        <f ca="1">IF($G33&lt;=0,0,E33/(H33*$G33))</f>
        <v>0.85878139534883724</v>
      </c>
      <c r="K33" s="106">
        <f ca="1">IF($G33&lt;=0,0,F33/(I33*$G33))</f>
        <v>3.9127804551934646E-2</v>
      </c>
      <c r="L33" s="130">
        <f>VLOOKUP(B33,'Base Stations Parameters'!$B:$D,3,0)</f>
        <v>145000</v>
      </c>
      <c r="M33">
        <f ca="1">ROUNDUP(MAX(E33/H33-G33,F33/I33-G33,0),0)</f>
        <v>0</v>
      </c>
      <c r="N33" s="130">
        <f ca="1">M33*L33</f>
        <v>0</v>
      </c>
      <c r="Q33" s="69" t="s">
        <v>169</v>
      </c>
      <c r="S33" s="125">
        <v>0.15</v>
      </c>
      <c r="T33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)*S33,0)</f>
        <v>110880</v>
      </c>
      <c r="U33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)*S33</f>
        <v>31348.134361226606</v>
      </c>
      <c r="V33" s="105">
        <f>INDEX('Sites per Region'!$A:$AO, MATCH(Q33,'Sites per Region'!$B:$B,0), MATCH(R$28,'Sites per Region'!$8:$8, 0))</f>
        <v>43</v>
      </c>
      <c r="W33" s="105">
        <f>_xlfn.LET(
_xlpm.data,'Base Stations Profiles'!$B:$T,
_xlpm.colSite,INDEX(_xlpm.data,,1),
_xlpm.colData,INDEX(_xlpm.data,,2),
_xlpm.rowRegion,MATCH(Q33,_xlpm.colSite,0),
_xlpm.rowUser,MATCH("Maximum Simultaneously Active Users per Site",_xlfn.DROP(_xlpm.colSite,_xlpm.rowRegion),0),
INDEX(_xlpm.colData,_xlpm.rowRegion+_xlpm.rowUser))</f>
        <v>2500</v>
      </c>
      <c r="X33" s="124">
        <f>_xlfn.LET(
    _xlpm.data, 'Base Stations Profiles'!$B:$U,
    _xlpm.colSite, INDEX(_xlpm.data,,1),
    _xlpm.colauto, INDEX(_xlpm.data,,3),
    _xlpm.colData, INDEX(_xlpm.data,,2),
    _xlpm.rowRegion, MATCH(Q33, _xlpm.colSite, 0),
    _xlpm.rowThroughput, MATCH("Maximum Throughput for Downlink per Site", _xlfn.DROP(_xlpm.colSite, _xlpm.rowRegion), 0),
    IF(INDEX(_xlpm.colauto, _xlpm.rowRegion + _xlpm.rowThroughput)='Model Configurator Sup'!$M$4,VLOOKUP(Q33,'Base Stations Parameters'!$B:$T,4,0),INDEX(_xlpm.colData, _xlpm.rowRegion + _xlpm.rowThroughput))
)</f>
        <v>17000</v>
      </c>
      <c r="Y33" s="106">
        <f ca="1">IF($V33&lt;=0,0,T33/(W33*$V33))</f>
        <v>1.0314418604651163</v>
      </c>
      <c r="Z33" s="106">
        <f ca="1">IF($V33&lt;=0,0,U33/(X33*$V33))</f>
        <v>4.2883904734920118E-2</v>
      </c>
      <c r="AA33" s="130">
        <f>VLOOKUP(Q33,'Base Stations Parameters'!$B:$S,3,0)</f>
        <v>145000</v>
      </c>
      <c r="AB33">
        <f ca="1">ROUNDUP(MAX(T33/W33-V33,U33/X33-V33,0),0)</f>
        <v>2</v>
      </c>
      <c r="AC33" s="130">
        <f ca="1">AB33*AA33</f>
        <v>290000</v>
      </c>
      <c r="AF33" s="69" t="s">
        <v>169</v>
      </c>
      <c r="AH33" s="125">
        <v>0.15</v>
      </c>
      <c r="AI33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)*AH33,0)</f>
        <v>187556</v>
      </c>
      <c r="AJ33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)*AH33</f>
        <v>41640.305837200554</v>
      </c>
      <c r="AK33" s="105">
        <f>INDEX('Sites per Region'!$A:$BD, MATCH(AF33,'Sites per Region'!$B:$B,0), MATCH(AG$28,'Sites per Region'!$8:$8, 0))</f>
        <v>43</v>
      </c>
      <c r="AL33" s="105">
        <f>_xlfn.LET(
_xlpm.data,'Base Stations Profiles'!$B:$AI,
_xlpm.colSite,INDEX(_xlpm.data,,1),
_xlpm.colData,INDEX(_xlpm.data,,2),
_xlpm.rowRegion,MATCH(AF33,_xlpm.colSite,0),
_xlpm.rowUser,MATCH("Maximum Simultaneously Active Users per Site",_xlfn.DROP(_xlpm.colSite,_xlpm.rowRegion),0),
INDEX(_xlpm.colData,_xlpm.rowRegion+_xlpm.rowUser))</f>
        <v>2500</v>
      </c>
      <c r="AM33" s="124">
        <f>_xlfn.LET(
    _xlpm.data, 'Base Stations Profiles'!$B:$AJ,
    _xlpm.colSite, INDEX(_xlpm.data,,1),
    _xlpm.colauto, INDEX(_xlpm.data,,3),
    _xlpm.colData, INDEX(_xlpm.data,,2),
    _xlpm.rowRegion, MATCH(AF33, _xlpm.colSite, 0),
    _xlpm.rowThroughput, MATCH("Maximum Throughput for Downlink per Site", _xlfn.DROP(_xlpm.colSite, _xlpm.rowRegion), 0),
    IF(INDEX(_xlpm.colauto, _xlpm.rowRegion + _xlpm.rowThroughput)='Model Configurator Sup'!$M$4,VLOOKUP(AF33,'Base Stations Parameters'!$B:$AI,4,0),INDEX(_xlpm.colData, _xlpm.rowRegion + _xlpm.rowThroughput))
)</f>
        <v>17000</v>
      </c>
      <c r="AN33" s="106">
        <f ca="1">IF($AK33&lt;=0,0,AI33/(AL33*$AK33))</f>
        <v>1.7447069767441861</v>
      </c>
      <c r="AO33" s="106">
        <f ca="1">IF($AK33&lt;=0,0,AJ33/(AM33*$AK33))</f>
        <v>5.6963482677428942E-2</v>
      </c>
      <c r="AP33" s="130">
        <f>VLOOKUP(AF33,'Base Stations Parameters'!$B:$AH,3,0)</f>
        <v>145000</v>
      </c>
      <c r="AQ33">
        <f ca="1">ROUNDUP(MAX(AI33/AL33-AK33,AJ33/AM33-AK33,0),0)</f>
        <v>33</v>
      </c>
      <c r="AR33" s="130">
        <f ca="1">AQ33*AP33</f>
        <v>4785000</v>
      </c>
    </row>
    <row r="34" spans="2:44" ht="15.75" customHeight="1" thickBot="1" x14ac:dyDescent="0.3">
      <c r="B34" s="69" t="s">
        <v>246</v>
      </c>
      <c r="D34" s="125">
        <v>0.15</v>
      </c>
      <c r="E34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)*D34,0)</f>
        <v>92319</v>
      </c>
      <c r="F34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)*D34</f>
        <v>28602.425127464227</v>
      </c>
      <c r="G34" s="105">
        <f>INDEX('Sites per Region'!$A:$Z, MATCH(B34,'Sites per Region'!$B:$B,0), MATCH(C$28,'Sites per Region'!$8:$8, 0))</f>
        <v>44</v>
      </c>
      <c r="H34" s="105">
        <f>_xlfn.LET(
_xlpm.data,'Base Stations Profiles'!$B:$E,
_xlpm.colSite,INDEX(_xlpm.data,,1),
_xlpm.colData,INDEX(_xlpm.data,,2),
_xlpm.rowRegion,MATCH(B34,_xlpm.colSite,0),
_xlpm.rowUser,MATCH("Maximum Simultaneously Active Users per Site",_xlfn.DROP(_xlpm.colSite,_xlpm.rowRegion),0),
INDEX(_xlpm.colData,_xlpm.rowRegion+_xlpm.rowUser))</f>
        <v>1500</v>
      </c>
      <c r="I34" s="124">
        <f>_xlfn.LET(
    _xlpm.data, 'Base Stations Profiles'!$B:$F,
    _xlpm.colSite, INDEX(_xlpm.data,,1),
    _xlpm.colauto, INDEX(_xlpm.data,,3),
    _xlpm.colData, INDEX(_xlpm.data,,2),
    _xlpm.rowRegion, MATCH(B34, _xlpm.colSite, 0),
    _xlpm.rowThroughput, MATCH("Maximum Throughput for Downlink per Site", _xlfn.DROP(_xlpm.colSite, _xlpm.rowRegion), 0),
    IF(INDEX(_xlpm.colauto, _xlpm.rowRegion + _xlpm.rowThroughput)='Model Configurator Sup'!$M$4,VLOOKUP(B34,'Base Stations Parameters'!$B:$E,4,0),INDEX(_xlpm.colData, _xlpm.rowRegion + _xlpm.rowThroughput))
)</f>
        <v>12000</v>
      </c>
      <c r="J34" s="106">
        <f ca="1">IF($G34&lt;=0,0,E34/(H34*$G34))</f>
        <v>1.3987727272727273</v>
      </c>
      <c r="K34" s="106">
        <f ca="1">IF($G34&lt;=0,0,F34/(I34*$G34))</f>
        <v>5.4171259711106493E-2</v>
      </c>
      <c r="L34" s="130">
        <f>VLOOKUP(B34,'Base Stations Parameters'!$B:$D,3,0)</f>
        <v>145000</v>
      </c>
      <c r="M34">
        <f ca="1">ROUNDUP(MAX(E34/H34-G34,F34/I34-G34,0),0)</f>
        <v>18</v>
      </c>
      <c r="N34" s="130">
        <f ca="1">M34*L34</f>
        <v>2610000</v>
      </c>
      <c r="Q34" s="69" t="s">
        <v>246</v>
      </c>
      <c r="S34" s="125">
        <v>0.15</v>
      </c>
      <c r="T34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)*S34,0)</f>
        <v>110880</v>
      </c>
      <c r="U34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)*S34</f>
        <v>31348.134361226606</v>
      </c>
      <c r="V34" s="105">
        <f>INDEX('Sites per Region'!$A:$AO, MATCH(Q34,'Sites per Region'!$B:$B,0), MATCH(R$28,'Sites per Region'!$8:$8, 0))</f>
        <v>44</v>
      </c>
      <c r="W34" s="105">
        <f>_xlfn.LET(
_xlpm.data,'Base Stations Profiles'!$B:$T,
_xlpm.colSite,INDEX(_xlpm.data,,1),
_xlpm.colData,INDEX(_xlpm.data,,2),
_xlpm.rowRegion,MATCH(Q34,_xlpm.colSite,0),
_xlpm.rowUser,MATCH("Maximum Simultaneously Active Users per Site",_xlfn.DROP(_xlpm.colSite,_xlpm.rowRegion),0),
INDEX(_xlpm.colData,_xlpm.rowRegion+_xlpm.rowUser))</f>
        <v>1500</v>
      </c>
      <c r="X34" s="124">
        <f>_xlfn.LET(
    _xlpm.data, 'Base Stations Profiles'!$B:$U,
    _xlpm.colSite, INDEX(_xlpm.data,,1),
    _xlpm.colauto, INDEX(_xlpm.data,,3),
    _xlpm.colData, INDEX(_xlpm.data,,2),
    _xlpm.rowRegion, MATCH(Q34, _xlpm.colSite, 0),
    _xlpm.rowThroughput, MATCH("Maximum Throughput for Downlink per Site", _xlfn.DROP(_xlpm.colSite, _xlpm.rowRegion), 0),
    IF(INDEX(_xlpm.colauto, _xlpm.rowRegion + _xlpm.rowThroughput)='Model Configurator Sup'!$M$4,VLOOKUP(Q34,'Base Stations Parameters'!$B:$T,4,0),INDEX(_xlpm.colData, _xlpm.rowRegion + _xlpm.rowThroughput))
)</f>
        <v>12000</v>
      </c>
      <c r="Y34" s="106">
        <f ca="1">IF($V34&lt;=0,0,T34/(W34*$V34))</f>
        <v>1.68</v>
      </c>
      <c r="Z34" s="106">
        <f ca="1">IF($V34&lt;=0,0,U34/(X34*$V34))</f>
        <v>5.9371466593232211E-2</v>
      </c>
      <c r="AA34" s="130">
        <f>VLOOKUP(Q34,'Base Stations Parameters'!$B:$S,3,0)</f>
        <v>145000</v>
      </c>
      <c r="AB34">
        <f ca="1">ROUNDUP(MAX(T34/W34-V34,U34/X34-V34,0),0)</f>
        <v>30</v>
      </c>
      <c r="AC34" s="130">
        <f ca="1">AB34*AA34</f>
        <v>4350000</v>
      </c>
      <c r="AF34" s="69" t="s">
        <v>246</v>
      </c>
      <c r="AH34" s="125">
        <v>0.15</v>
      </c>
      <c r="AI34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)*AH34,0)</f>
        <v>187556</v>
      </c>
      <c r="AJ34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)*AH34</f>
        <v>41640.305837200554</v>
      </c>
      <c r="AK34" s="105">
        <f>INDEX('Sites per Region'!$A:$BD, MATCH(AF34,'Sites per Region'!$B:$B,0), MATCH(AG$28,'Sites per Region'!$8:$8, 0))</f>
        <v>44</v>
      </c>
      <c r="AL34" s="105">
        <f>_xlfn.LET(
_xlpm.data,'Base Stations Profiles'!$B:$AI,
_xlpm.colSite,INDEX(_xlpm.data,,1),
_xlpm.colData,INDEX(_xlpm.data,,2),
_xlpm.rowRegion,MATCH(AF34,_xlpm.colSite,0),
_xlpm.rowUser,MATCH("Maximum Simultaneously Active Users per Site",_xlfn.DROP(_xlpm.colSite,_xlpm.rowRegion),0),
INDEX(_xlpm.colData,_xlpm.rowRegion+_xlpm.rowUser))</f>
        <v>1500</v>
      </c>
      <c r="AM34" s="124">
        <f>_xlfn.LET(
    _xlpm.data, 'Base Stations Profiles'!$B:$AJ,
    _xlpm.colSite, INDEX(_xlpm.data,,1),
    _xlpm.colauto, INDEX(_xlpm.data,,3),
    _xlpm.colData, INDEX(_xlpm.data,,2),
    _xlpm.rowRegion, MATCH(AF34, _xlpm.colSite, 0),
    _xlpm.rowThroughput, MATCH("Maximum Throughput for Downlink per Site", _xlfn.DROP(_xlpm.colSite, _xlpm.rowRegion), 0),
    IF(INDEX(_xlpm.colauto, _xlpm.rowRegion + _xlpm.rowThroughput)='Model Configurator Sup'!$M$4,VLOOKUP(AF34,'Base Stations Parameters'!$B:$AI,4,0),INDEX(_xlpm.colData, _xlpm.rowRegion + _xlpm.rowThroughput))
)</f>
        <v>12000</v>
      </c>
      <c r="AN34" s="106">
        <f ca="1">IF($AK34&lt;=0,0,AI34/(AL34*$AK34))</f>
        <v>2.8417575757575757</v>
      </c>
      <c r="AO34" s="106">
        <f ca="1">IF($AK34&lt;=0,0,AJ34/(AM34*$AK34))</f>
        <v>7.8864215600758625E-2</v>
      </c>
      <c r="AP34" s="130">
        <f>VLOOKUP(AF34,'Base Stations Parameters'!$B:$AH,3,0)</f>
        <v>145000</v>
      </c>
      <c r="AQ34">
        <f ca="1">ROUNDUP(MAX(AI34/AL34-AK34,AJ34/AM34-AK34,0),0)</f>
        <v>82</v>
      </c>
      <c r="AR34" s="130">
        <f ca="1">AQ34*AP34</f>
        <v>11890000</v>
      </c>
    </row>
    <row r="35" spans="2:44" ht="15.75" customHeight="1" thickBot="1" x14ac:dyDescent="0.3">
      <c r="B35" s="69" t="s">
        <v>170</v>
      </c>
      <c r="D35" s="125">
        <v>0.15</v>
      </c>
      <c r="E35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)*D35,0)</f>
        <v>92319</v>
      </c>
      <c r="F35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)*D35</f>
        <v>28602.425127464227</v>
      </c>
      <c r="G35" s="105">
        <f>INDEX('Sites per Region'!$A:$Z, MATCH(B35,'Sites per Region'!$B:$B,0), MATCH(C$28,'Sites per Region'!$8:$8, 0))</f>
        <v>44</v>
      </c>
      <c r="H35" s="105">
        <f>_xlfn.LET(
_xlpm.data,'Base Stations Profiles'!$B:$E,
_xlpm.colSite,INDEX(_xlpm.data,,1),
_xlpm.colData,INDEX(_xlpm.data,,2),
_xlpm.rowRegion,MATCH(B35,_xlpm.colSite,0),
_xlpm.rowUser,MATCH("Maximum Simultaneously Active Users per Site",_xlfn.DROP(_xlpm.colSite,_xlpm.rowRegion),0),
INDEX(_xlpm.colData,_xlpm.rowRegion+_xlpm.rowUser))</f>
        <v>1500</v>
      </c>
      <c r="I35" s="124">
        <f>_xlfn.LET(
    _xlpm.data, 'Base Stations Profiles'!$B:$F,
    _xlpm.colSite, INDEX(_xlpm.data,,1),
    _xlpm.colauto, INDEX(_xlpm.data,,3),
    _xlpm.colData, INDEX(_xlpm.data,,2),
    _xlpm.rowRegion, MATCH(B35, _xlpm.colSite, 0),
    _xlpm.rowThroughput, MATCH("Maximum Throughput for Downlink per Site", _xlfn.DROP(_xlpm.colSite, _xlpm.rowRegion), 0),
    IF(INDEX(_xlpm.colauto, _xlpm.rowRegion + _xlpm.rowThroughput)='Model Configurator Sup'!$M$4,VLOOKUP(B35,'Base Stations Parameters'!$B:$E,4,0),INDEX(_xlpm.colData, _xlpm.rowRegion + _xlpm.rowThroughput))
)</f>
        <v>12000</v>
      </c>
      <c r="J35" s="106">
        <f ca="1">IF($G35&lt;=0,0,E35/(H35*$G35))</f>
        <v>1.3987727272727273</v>
      </c>
      <c r="K35" s="106">
        <f ca="1">IF($G35&lt;=0,0,F35/(I35*$G35))</f>
        <v>5.4171259711106493E-2</v>
      </c>
      <c r="L35" s="130">
        <f>VLOOKUP(B35,'Base Stations Parameters'!$B:$D,3,0)</f>
        <v>100000</v>
      </c>
      <c r="M35">
        <f ca="1">ROUNDUP(MAX(E35/H35-G35,F35/I35-G35,0),0)</f>
        <v>18</v>
      </c>
      <c r="N35" s="130">
        <f ca="1">M35*L35</f>
        <v>1800000</v>
      </c>
      <c r="Q35" s="69" t="s">
        <v>170</v>
      </c>
      <c r="S35" s="125">
        <v>0.15</v>
      </c>
      <c r="T35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)*S35,0)</f>
        <v>110880</v>
      </c>
      <c r="U35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)*S35</f>
        <v>31348.134361226606</v>
      </c>
      <c r="V35" s="105">
        <f>INDEX('Sites per Region'!$A:$AO, MATCH(Q35,'Sites per Region'!$B:$B,0), MATCH(R$28,'Sites per Region'!$8:$8, 0))</f>
        <v>44</v>
      </c>
      <c r="W35" s="105">
        <f>_xlfn.LET(
_xlpm.data,'Base Stations Profiles'!$B:$T,
_xlpm.colSite,INDEX(_xlpm.data,,1),
_xlpm.colData,INDEX(_xlpm.data,,2),
_xlpm.rowRegion,MATCH(Q35,_xlpm.colSite,0),
_xlpm.rowUser,MATCH("Maximum Simultaneously Active Users per Site",_xlfn.DROP(_xlpm.colSite,_xlpm.rowRegion),0),
INDEX(_xlpm.colData,_xlpm.rowRegion+_xlpm.rowUser))</f>
        <v>1500</v>
      </c>
      <c r="X35" s="124">
        <f>_xlfn.LET(
    _xlpm.data, 'Base Stations Profiles'!$B:$U,
    _xlpm.colSite, INDEX(_xlpm.data,,1),
    _xlpm.colauto, INDEX(_xlpm.data,,3),
    _xlpm.colData, INDEX(_xlpm.data,,2),
    _xlpm.rowRegion, MATCH(Q35, _xlpm.colSite, 0),
    _xlpm.rowThroughput, MATCH("Maximum Throughput for Downlink per Site", _xlfn.DROP(_xlpm.colSite, _xlpm.rowRegion), 0),
    IF(INDEX(_xlpm.colauto, _xlpm.rowRegion + _xlpm.rowThroughput)='Model Configurator Sup'!$M$4,VLOOKUP(Q35,'Base Stations Parameters'!$B:$T,4,0),INDEX(_xlpm.colData, _xlpm.rowRegion + _xlpm.rowThroughput))
)</f>
        <v>12000</v>
      </c>
      <c r="Y35" s="106">
        <f ca="1">IF($V35&lt;=0,0,T35/(W35*$V35))</f>
        <v>1.68</v>
      </c>
      <c r="Z35" s="106">
        <f ca="1">IF($V35&lt;=0,0,U35/(X35*$V35))</f>
        <v>5.9371466593232211E-2</v>
      </c>
      <c r="AA35" s="130">
        <f>VLOOKUP(Q35,'Base Stations Parameters'!$B:$S,3,0)</f>
        <v>100000</v>
      </c>
      <c r="AB35">
        <f ca="1">ROUNDUP(MAX(T35/W35-V35,U35/X35-V35,0),0)</f>
        <v>30</v>
      </c>
      <c r="AC35" s="130">
        <f ca="1">AB35*AA35</f>
        <v>3000000</v>
      </c>
      <c r="AF35" s="69" t="s">
        <v>170</v>
      </c>
      <c r="AH35" s="125">
        <v>0.15</v>
      </c>
      <c r="AI35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)*AH35,0)</f>
        <v>187556</v>
      </c>
      <c r="AJ35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)*AH35</f>
        <v>41640.305837200554</v>
      </c>
      <c r="AK35" s="105">
        <f>INDEX('Sites per Region'!$A:$BD, MATCH(AF35,'Sites per Region'!$B:$B,0), MATCH(AG$28,'Sites per Region'!$8:$8, 0))</f>
        <v>44</v>
      </c>
      <c r="AL35" s="105">
        <f>_xlfn.LET(
_xlpm.data,'Base Stations Profiles'!$B:$AI,
_xlpm.colSite,INDEX(_xlpm.data,,1),
_xlpm.colData,INDEX(_xlpm.data,,2),
_xlpm.rowRegion,MATCH(AF35,_xlpm.colSite,0),
_xlpm.rowUser,MATCH("Maximum Simultaneously Active Users per Site",_xlfn.DROP(_xlpm.colSite,_xlpm.rowRegion),0),
INDEX(_xlpm.colData,_xlpm.rowRegion+_xlpm.rowUser))</f>
        <v>1500</v>
      </c>
      <c r="AM35" s="124">
        <f>_xlfn.LET(
    _xlpm.data, 'Base Stations Profiles'!$B:$AJ,
    _xlpm.colSite, INDEX(_xlpm.data,,1),
    _xlpm.colauto, INDEX(_xlpm.data,,3),
    _xlpm.colData, INDEX(_xlpm.data,,2),
    _xlpm.rowRegion, MATCH(AF35, _xlpm.colSite, 0),
    _xlpm.rowThroughput, MATCH("Maximum Throughput for Downlink per Site", _xlfn.DROP(_xlpm.colSite, _xlpm.rowRegion), 0),
    IF(INDEX(_xlpm.colauto, _xlpm.rowRegion + _xlpm.rowThroughput)='Model Configurator Sup'!$M$4,VLOOKUP(AF35,'Base Stations Parameters'!$B:$AI,4,0),INDEX(_xlpm.colData, _xlpm.rowRegion + _xlpm.rowThroughput))
)</f>
        <v>12000</v>
      </c>
      <c r="AN35" s="106">
        <f ca="1">IF($AK35&lt;=0,0,AI35/(AL35*$AK35))</f>
        <v>2.8417575757575757</v>
      </c>
      <c r="AO35" s="106">
        <f ca="1">IF($AK35&lt;=0,0,AJ35/(AM35*$AK35))</f>
        <v>7.8864215600758625E-2</v>
      </c>
      <c r="AP35" s="130">
        <f>VLOOKUP(AF35,'Base Stations Parameters'!$B:$AH,3,0)</f>
        <v>100000</v>
      </c>
      <c r="AQ35">
        <f ca="1">ROUNDUP(MAX(AI35/AL35-AK35,AJ35/AM35-AK35,0),0)</f>
        <v>82</v>
      </c>
      <c r="AR35" s="130">
        <f ca="1">AQ35*AP35</f>
        <v>8200000</v>
      </c>
    </row>
    <row r="36" spans="2:44" ht="15.75" customHeight="1" thickBot="1" x14ac:dyDescent="0.3">
      <c r="B36" s="69" t="s">
        <v>247</v>
      </c>
      <c r="D36" s="125">
        <v>7.4999999999999997E-2</v>
      </c>
      <c r="E36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)*D36,0)</f>
        <v>46159</v>
      </c>
      <c r="F36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)*D36</f>
        <v>14301.212563732113</v>
      </c>
      <c r="G36" s="105">
        <f>INDEX('Sites per Region'!$A:$Z, MATCH(B36,'Sites per Region'!$B:$B,0), MATCH(C$28,'Sites per Region'!$8:$8, 0))</f>
        <v>31</v>
      </c>
      <c r="H36" s="105">
        <f>_xlfn.LET(
_xlpm.data,'Base Stations Profiles'!$B:$E,
_xlpm.colSite,INDEX(_xlpm.data,,1),
_xlpm.colData,INDEX(_xlpm.data,,2),
_xlpm.rowRegion,MATCH(B36,_xlpm.colSite,0),
_xlpm.rowUser,MATCH("Maximum Simultaneously Active Users per Site",_xlfn.DROP(_xlpm.colSite,_xlpm.rowRegion),0),
INDEX(_xlpm.colData,_xlpm.rowRegion+_xlpm.rowUser))</f>
        <v>750</v>
      </c>
      <c r="I36" s="124">
        <f>_xlfn.LET(
    _xlpm.data, 'Base Stations Profiles'!$B:$F,
    _xlpm.colSite, INDEX(_xlpm.data,,1),
    _xlpm.colauto, INDEX(_xlpm.data,,3),
    _xlpm.colData, INDEX(_xlpm.data,,2),
    _xlpm.rowRegion, MATCH(B36, _xlpm.colSite, 0),
    _xlpm.rowThroughput, MATCH("Maximum Throughput for Downlink per Site", _xlfn.DROP(_xlpm.colSite, _xlpm.rowRegion), 0),
    IF(INDEX(_xlpm.colauto, _xlpm.rowRegion + _xlpm.rowThroughput)='Model Configurator Sup'!$M$4,VLOOKUP(B36,'Base Stations Parameters'!$B:$E,4,0),INDEX(_xlpm.colData, _xlpm.rowRegion + _xlpm.rowThroughput))
)</f>
        <v>5000</v>
      </c>
      <c r="J36" s="106">
        <f ca="1">IF($G36&lt;=0,0,E36/(H36*$G36))</f>
        <v>1.9853333333333334</v>
      </c>
      <c r="K36" s="106">
        <f ca="1">IF($G36&lt;=0,0,F36/(I36*$G36))</f>
        <v>9.2265887507949118E-2</v>
      </c>
      <c r="L36" s="130">
        <f>VLOOKUP(B36,'Base Stations Parameters'!$B:$D,3,0)</f>
        <v>100000</v>
      </c>
      <c r="M36">
        <f ca="1">ROUNDUP(MAX(E36/H36-G36,F36/I36-G36,0),0)</f>
        <v>31</v>
      </c>
      <c r="N36" s="130">
        <f ca="1">M36*L36</f>
        <v>3100000</v>
      </c>
      <c r="Q36" s="69" t="s">
        <v>247</v>
      </c>
      <c r="S36" s="125">
        <v>7.4999999999999997E-2</v>
      </c>
      <c r="T36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)*S36,0)</f>
        <v>55440</v>
      </c>
      <c r="U36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)*S36</f>
        <v>15674.067180613303</v>
      </c>
      <c r="V36" s="105">
        <f>INDEX('Sites per Region'!$A:$AO, MATCH(Q36,'Sites per Region'!$B:$B,0), MATCH(R$28,'Sites per Region'!$8:$8, 0))</f>
        <v>31</v>
      </c>
      <c r="W36" s="105">
        <f>_xlfn.LET(
_xlpm.data,'Base Stations Profiles'!$B:$T,
_xlpm.colSite,INDEX(_xlpm.data,,1),
_xlpm.colData,INDEX(_xlpm.data,,2),
_xlpm.rowRegion,MATCH(Q36,_xlpm.colSite,0),
_xlpm.rowUser,MATCH("Maximum Simultaneously Active Users per Site",_xlfn.DROP(_xlpm.colSite,_xlpm.rowRegion),0),
INDEX(_xlpm.colData,_xlpm.rowRegion+_xlpm.rowUser))</f>
        <v>750</v>
      </c>
      <c r="X36" s="124">
        <f>_xlfn.LET(
    _xlpm.data, 'Base Stations Profiles'!$B:$U,
    _xlpm.colSite, INDEX(_xlpm.data,,1),
    _xlpm.colauto, INDEX(_xlpm.data,,3),
    _xlpm.colData, INDEX(_xlpm.data,,2),
    _xlpm.rowRegion, MATCH(Q36, _xlpm.colSite, 0),
    _xlpm.rowThroughput, MATCH("Maximum Throughput for Downlink per Site", _xlfn.DROP(_xlpm.colSite, _xlpm.rowRegion), 0),
    IF(INDEX(_xlpm.colauto, _xlpm.rowRegion + _xlpm.rowThroughput)='Model Configurator Sup'!$M$4,VLOOKUP(Q36,'Base Stations Parameters'!$B:$T,4,0),INDEX(_xlpm.colData, _xlpm.rowRegion + _xlpm.rowThroughput))
)</f>
        <v>5000</v>
      </c>
      <c r="Y36" s="106">
        <f ca="1">IF($V36&lt;=0,0,T36/(W36*$V36))</f>
        <v>2.3845161290322578</v>
      </c>
      <c r="Z36" s="106">
        <f ca="1">IF($V36&lt;=0,0,U36/(X36*$V36))</f>
        <v>0.10112301406847292</v>
      </c>
      <c r="AA36" s="130">
        <f>VLOOKUP(Q36,'Base Stations Parameters'!$B:$S,3,0)</f>
        <v>100000</v>
      </c>
      <c r="AB36">
        <f ca="1">ROUNDUP(MAX(T36/W36-V36,U36/X36-V36,0),0)</f>
        <v>43</v>
      </c>
      <c r="AC36" s="130">
        <f ca="1">AB36*AA36</f>
        <v>4300000</v>
      </c>
      <c r="AF36" s="69" t="s">
        <v>247</v>
      </c>
      <c r="AH36" s="125">
        <v>7.4999999999999997E-2</v>
      </c>
      <c r="AI36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)*AH36,0)</f>
        <v>93778</v>
      </c>
      <c r="AJ36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)*AH36</f>
        <v>20820.152918600277</v>
      </c>
      <c r="AK36" s="105">
        <f>INDEX('Sites per Region'!$A:$BD, MATCH(AF36,'Sites per Region'!$B:$B,0), MATCH(AG$28,'Sites per Region'!$8:$8, 0))</f>
        <v>31</v>
      </c>
      <c r="AL36" s="105">
        <f>_xlfn.LET(
_xlpm.data,'Base Stations Profiles'!$B:$AI,
_xlpm.colSite,INDEX(_xlpm.data,,1),
_xlpm.colData,INDEX(_xlpm.data,,2),
_xlpm.rowRegion,MATCH(AF36,_xlpm.colSite,0),
_xlpm.rowUser,MATCH("Maximum Simultaneously Active Users per Site",_xlfn.DROP(_xlpm.colSite,_xlpm.rowRegion),0),
INDEX(_xlpm.colData,_xlpm.rowRegion+_xlpm.rowUser))</f>
        <v>750</v>
      </c>
      <c r="AM36" s="124">
        <f>_xlfn.LET(
    _xlpm.data, 'Base Stations Profiles'!$B:$AJ,
    _xlpm.colSite, INDEX(_xlpm.data,,1),
    _xlpm.colauto, INDEX(_xlpm.data,,3),
    _xlpm.colData, INDEX(_xlpm.data,,2),
    _xlpm.rowRegion, MATCH(AF36, _xlpm.colSite, 0),
    _xlpm.rowThroughput, MATCH("Maximum Throughput for Downlink per Site", _xlfn.DROP(_xlpm.colSite, _xlpm.rowRegion), 0),
    IF(INDEX(_xlpm.colauto, _xlpm.rowRegion + _xlpm.rowThroughput)='Model Configurator Sup'!$M$4,VLOOKUP(AF36,'Base Stations Parameters'!$B:$AI,4,0),INDEX(_xlpm.colData, _xlpm.rowRegion + _xlpm.rowThroughput))
)</f>
        <v>5000</v>
      </c>
      <c r="AN36" s="106">
        <f ca="1">IF($AK36&lt;=0,0,AI36/(AL36*$AK36))</f>
        <v>4.0334623655913981</v>
      </c>
      <c r="AO36" s="106">
        <f ca="1">IF($AK36&lt;=0,0,AJ36/(AM36*$AK36))</f>
        <v>0.13432356721677599</v>
      </c>
      <c r="AP36" s="130">
        <f>VLOOKUP(AF36,'Base Stations Parameters'!$B:$AH,3,0)</f>
        <v>100000</v>
      </c>
      <c r="AQ36">
        <f ca="1">ROUNDUP(MAX(AI36/AL36-AK36,AJ36/AM36-AK36,0),0)</f>
        <v>95</v>
      </c>
      <c r="AR36" s="130">
        <f ca="1">AQ36*AP36</f>
        <v>9500000</v>
      </c>
    </row>
    <row r="37" spans="2:44" ht="15.75" customHeight="1" thickBot="1" x14ac:dyDescent="0.3">
      <c r="B37" s="69" t="s">
        <v>171</v>
      </c>
      <c r="D37" s="125">
        <v>7.4999999999999997E-2</v>
      </c>
      <c r="E37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)*D37,0)</f>
        <v>46159</v>
      </c>
      <c r="F37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)*D37</f>
        <v>14301.212563732113</v>
      </c>
      <c r="G37" s="105">
        <f>INDEX('Sites per Region'!$A:$Z, MATCH(B37,'Sites per Region'!$B:$B,0), MATCH(C$28,'Sites per Region'!$8:$8, 0))</f>
        <v>31</v>
      </c>
      <c r="H37" s="105">
        <f>_xlfn.LET(
_xlpm.data,'Base Stations Profiles'!$B:$E,
_xlpm.colSite,INDEX(_xlpm.data,,1),
_xlpm.colData,INDEX(_xlpm.data,,2),
_xlpm.rowRegion,MATCH(B37,_xlpm.colSite,0),
_xlpm.rowUser,MATCH("Maximum Simultaneously Active Users per Site",_xlfn.DROP(_xlpm.colSite,_xlpm.rowRegion),0),
INDEX(_xlpm.colData,_xlpm.rowRegion+_xlpm.rowUser))</f>
        <v>750</v>
      </c>
      <c r="I37" s="124">
        <f>_xlfn.LET(
    _xlpm.data, 'Base Stations Profiles'!$B:$F,
    _xlpm.colSite, INDEX(_xlpm.data,,1),
    _xlpm.colauto, INDEX(_xlpm.data,,3),
    _xlpm.colData, INDEX(_xlpm.data,,2),
    _xlpm.rowRegion, MATCH(B37, _xlpm.colSite, 0),
    _xlpm.rowThroughput, MATCH("Maximum Throughput for Downlink per Site", _xlfn.DROP(_xlpm.colSite, _xlpm.rowRegion), 0),
    IF(INDEX(_xlpm.colauto, _xlpm.rowRegion + _xlpm.rowThroughput)='Model Configurator Sup'!$M$4,VLOOKUP(B37,'Base Stations Parameters'!$B:$E,4,0),INDEX(_xlpm.colData, _xlpm.rowRegion + _xlpm.rowThroughput))
)</f>
        <v>5000</v>
      </c>
      <c r="J37" s="106">
        <f ca="1">IF($G37&lt;=0,0,E37/(H37*$G37))</f>
        <v>1.9853333333333334</v>
      </c>
      <c r="K37" s="106">
        <f ca="1">IF($G37&lt;=0,0,F37/(I37*$G37))</f>
        <v>9.2265887507949118E-2</v>
      </c>
      <c r="L37" s="130">
        <f>VLOOKUP(B37,'Base Stations Parameters'!$B:$D,3,0)</f>
        <v>95000</v>
      </c>
      <c r="M37">
        <f ca="1">ROUNDUP(MAX(E37/H37-G37,F37/I37-G37,0),0)</f>
        <v>31</v>
      </c>
      <c r="N37" s="130">
        <f ca="1">M37*L37</f>
        <v>2945000</v>
      </c>
      <c r="Q37" s="69" t="s">
        <v>171</v>
      </c>
      <c r="S37" s="125">
        <v>7.4999999999999997E-2</v>
      </c>
      <c r="T37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)*S37,0)</f>
        <v>55440</v>
      </c>
      <c r="U37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)*S37</f>
        <v>15674.067180613303</v>
      </c>
      <c r="V37" s="105">
        <f>INDEX('Sites per Region'!$A:$AO, MATCH(Q37,'Sites per Region'!$B:$B,0), MATCH(R$28,'Sites per Region'!$8:$8, 0))</f>
        <v>31</v>
      </c>
      <c r="W37" s="105">
        <f>_xlfn.LET(
_xlpm.data,'Base Stations Profiles'!$B:$T,
_xlpm.colSite,INDEX(_xlpm.data,,1),
_xlpm.colData,INDEX(_xlpm.data,,2),
_xlpm.rowRegion,MATCH(Q37,_xlpm.colSite,0),
_xlpm.rowUser,MATCH("Maximum Simultaneously Active Users per Site",_xlfn.DROP(_xlpm.colSite,_xlpm.rowRegion),0),
INDEX(_xlpm.colData,_xlpm.rowRegion+_xlpm.rowUser))</f>
        <v>750</v>
      </c>
      <c r="X37" s="124">
        <f>_xlfn.LET(
    _xlpm.data, 'Base Stations Profiles'!$B:$U,
    _xlpm.colSite, INDEX(_xlpm.data,,1),
    _xlpm.colauto, INDEX(_xlpm.data,,3),
    _xlpm.colData, INDEX(_xlpm.data,,2),
    _xlpm.rowRegion, MATCH(Q37, _xlpm.colSite, 0),
    _xlpm.rowThroughput, MATCH("Maximum Throughput for Downlink per Site", _xlfn.DROP(_xlpm.colSite, _xlpm.rowRegion), 0),
    IF(INDEX(_xlpm.colauto, _xlpm.rowRegion + _xlpm.rowThroughput)='Model Configurator Sup'!$M$4,VLOOKUP(Q37,'Base Stations Parameters'!$B:$T,4,0),INDEX(_xlpm.colData, _xlpm.rowRegion + _xlpm.rowThroughput))
)</f>
        <v>5000</v>
      </c>
      <c r="Y37" s="106">
        <f ca="1">IF($V37&lt;=0,0,T37/(W37*$V37))</f>
        <v>2.3845161290322578</v>
      </c>
      <c r="Z37" s="106">
        <f ca="1">IF($V37&lt;=0,0,U37/(X37*$V37))</f>
        <v>0.10112301406847292</v>
      </c>
      <c r="AA37" s="130">
        <f>VLOOKUP(Q37,'Base Stations Parameters'!$B:$S,3,0)</f>
        <v>95000</v>
      </c>
      <c r="AB37">
        <f ca="1">ROUNDUP(MAX(T37/W37-V37,U37/X37-V37,0),0)</f>
        <v>43</v>
      </c>
      <c r="AC37" s="130">
        <f ca="1">AB37*AA37</f>
        <v>4085000</v>
      </c>
      <c r="AF37" s="69" t="s">
        <v>171</v>
      </c>
      <c r="AH37" s="125">
        <v>7.4999999999999997E-2</v>
      </c>
      <c r="AI37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)*AH37,0)</f>
        <v>93778</v>
      </c>
      <c r="AJ37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)*AH37</f>
        <v>20820.152918600277</v>
      </c>
      <c r="AK37" s="105">
        <f>INDEX('Sites per Region'!$A:$BD, MATCH(AF37,'Sites per Region'!$B:$B,0), MATCH(AG$28,'Sites per Region'!$8:$8, 0))</f>
        <v>31</v>
      </c>
      <c r="AL37" s="105">
        <f>_xlfn.LET(
_xlpm.data,'Base Stations Profiles'!$B:$AI,
_xlpm.colSite,INDEX(_xlpm.data,,1),
_xlpm.colData,INDEX(_xlpm.data,,2),
_xlpm.rowRegion,MATCH(AF37,_xlpm.colSite,0),
_xlpm.rowUser,MATCH("Maximum Simultaneously Active Users per Site",_xlfn.DROP(_xlpm.colSite,_xlpm.rowRegion),0),
INDEX(_xlpm.colData,_xlpm.rowRegion+_xlpm.rowUser))</f>
        <v>750</v>
      </c>
      <c r="AM37" s="124">
        <f>_xlfn.LET(
    _xlpm.data, 'Base Stations Profiles'!$B:$AJ,
    _xlpm.colSite, INDEX(_xlpm.data,,1),
    _xlpm.colauto, INDEX(_xlpm.data,,3),
    _xlpm.colData, INDEX(_xlpm.data,,2),
    _xlpm.rowRegion, MATCH(AF37, _xlpm.colSite, 0),
    _xlpm.rowThroughput, MATCH("Maximum Throughput for Downlink per Site", _xlfn.DROP(_xlpm.colSite, _xlpm.rowRegion), 0),
    IF(INDEX(_xlpm.colauto, _xlpm.rowRegion + _xlpm.rowThroughput)='Model Configurator Sup'!$M$4,VLOOKUP(AF37,'Base Stations Parameters'!$B:$AI,4,0),INDEX(_xlpm.colData, _xlpm.rowRegion + _xlpm.rowThroughput))
)</f>
        <v>5000</v>
      </c>
      <c r="AN37" s="106">
        <f ca="1">IF($AK37&lt;=0,0,AI37/(AL37*$AK37))</f>
        <v>4.0334623655913981</v>
      </c>
      <c r="AO37" s="106">
        <f ca="1">IF($AK37&lt;=0,0,AJ37/(AM37*$AK37))</f>
        <v>0.13432356721677599</v>
      </c>
      <c r="AP37" s="130">
        <f>VLOOKUP(AF37,'Base Stations Parameters'!$B:$AH,3,0)</f>
        <v>95000</v>
      </c>
      <c r="AQ37">
        <f ca="1">ROUNDUP(MAX(AI37/AL37-AK37,AJ37/AM37-AK37,0),0)</f>
        <v>95</v>
      </c>
      <c r="AR37" s="130">
        <f ca="1">AQ37*AP37</f>
        <v>9025000</v>
      </c>
    </row>
    <row r="38" spans="2:44" ht="15.75" customHeight="1" thickBot="1" x14ac:dyDescent="0.3">
      <c r="B38" s="69" t="s">
        <v>248</v>
      </c>
      <c r="D38" s="125">
        <v>0.05</v>
      </c>
      <c r="E38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)*D38,0)</f>
        <v>30773</v>
      </c>
      <c r="F38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)*D38</f>
        <v>9534.1417091547428</v>
      </c>
      <c r="G38" s="105">
        <f>INDEX('Sites per Region'!$A:$Z, MATCH(B38,'Sites per Region'!$B:$B,0), MATCH(C$28,'Sites per Region'!$8:$8, 0))</f>
        <v>45</v>
      </c>
      <c r="H38" s="105">
        <f>_xlfn.LET(
_xlpm.data,'Base Stations Profiles'!$B:$E,
_xlpm.colSite,INDEX(_xlpm.data,,1),
_xlpm.colData,INDEX(_xlpm.data,,2),
_xlpm.rowRegion,MATCH(B38,_xlpm.colSite,0),
_xlpm.rowUser,MATCH("Maximum Simultaneously Active Users per Site",_xlfn.DROP(_xlpm.colSite,_xlpm.rowRegion),0),
INDEX(_xlpm.colData,_xlpm.rowRegion+_xlpm.rowUser))</f>
        <v>1500</v>
      </c>
      <c r="I38" s="124">
        <f>_xlfn.LET(
    _xlpm.data, 'Base Stations Profiles'!$B:$F,
    _xlpm.colSite, INDEX(_xlpm.data,,1),
    _xlpm.colauto, INDEX(_xlpm.data,,3),
    _xlpm.colData, INDEX(_xlpm.data,,2),
    _xlpm.rowRegion, MATCH(B38, _xlpm.colSite, 0),
    _xlpm.rowThroughput, MATCH("Maximum Throughput for Downlink per Site", _xlfn.DROP(_xlpm.colSite, _xlpm.rowRegion), 0),
    IF(INDEX(_xlpm.colauto, _xlpm.rowRegion + _xlpm.rowThroughput)='Model Configurator Sup'!$M$4,VLOOKUP(B38,'Base Stations Parameters'!$B:$E,4,0),INDEX(_xlpm.colData, _xlpm.rowRegion + _xlpm.rowThroughput))
)</f>
        <v>2000</v>
      </c>
      <c r="J38" s="106">
        <f ca="1">IF($G38&lt;=0,0,E38/(H38*$G38))</f>
        <v>0.4558962962962963</v>
      </c>
      <c r="K38" s="106">
        <f ca="1">IF($G38&lt;=0,0,F38/(I38*$G38))</f>
        <v>0.10593490787949714</v>
      </c>
      <c r="L38" s="130">
        <f>VLOOKUP(B38,'Base Stations Parameters'!$B:$D,3,0)</f>
        <v>95000</v>
      </c>
      <c r="M38">
        <f ca="1">ROUNDUP(MAX(E38/H38-G38,F38/I38-G38,0),0)</f>
        <v>0</v>
      </c>
      <c r="N38" s="130">
        <f ca="1">M38*L38</f>
        <v>0</v>
      </c>
      <c r="Q38" s="69" t="s">
        <v>248</v>
      </c>
      <c r="S38" s="125">
        <v>0.05</v>
      </c>
      <c r="T38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)*S38,0)</f>
        <v>36960</v>
      </c>
      <c r="U38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)*S38</f>
        <v>10449.37812040887</v>
      </c>
      <c r="V38" s="105">
        <f>INDEX('Sites per Region'!$A:$AO, MATCH(Q38,'Sites per Region'!$B:$B,0), MATCH(R$28,'Sites per Region'!$8:$8, 0))</f>
        <v>45</v>
      </c>
      <c r="W38" s="105">
        <f>_xlfn.LET(
_xlpm.data,'Base Stations Profiles'!$B:$T,
_xlpm.colSite,INDEX(_xlpm.data,,1),
_xlpm.colData,INDEX(_xlpm.data,,2),
_xlpm.rowRegion,MATCH(Q38,_xlpm.colSite,0),
_xlpm.rowUser,MATCH("Maximum Simultaneously Active Users per Site",_xlfn.DROP(_xlpm.colSite,_xlpm.rowRegion),0),
INDEX(_xlpm.colData,_xlpm.rowRegion+_xlpm.rowUser))</f>
        <v>1500</v>
      </c>
      <c r="X38" s="124">
        <f>_xlfn.LET(
    _xlpm.data, 'Base Stations Profiles'!$B:$U,
    _xlpm.colSite, INDEX(_xlpm.data,,1),
    _xlpm.colauto, INDEX(_xlpm.data,,3),
    _xlpm.colData, INDEX(_xlpm.data,,2),
    _xlpm.rowRegion, MATCH(Q38, _xlpm.colSite, 0),
    _xlpm.rowThroughput, MATCH("Maximum Throughput for Downlink per Site", _xlfn.DROP(_xlpm.colSite, _xlpm.rowRegion), 0),
    IF(INDEX(_xlpm.colauto, _xlpm.rowRegion + _xlpm.rowThroughput)='Model Configurator Sup'!$M$4,VLOOKUP(Q38,'Base Stations Parameters'!$B:$T,4,0),INDEX(_xlpm.colData, _xlpm.rowRegion + _xlpm.rowThroughput))
)</f>
        <v>2000</v>
      </c>
      <c r="Y38" s="106">
        <f ca="1">IF($V38&lt;=0,0,T38/(W38*$V38))</f>
        <v>0.54755555555555557</v>
      </c>
      <c r="Z38" s="106">
        <f ca="1">IF($V38&lt;=0,0,U38/(X38*$V38))</f>
        <v>0.11610420133787633</v>
      </c>
      <c r="AA38" s="130">
        <f>VLOOKUP(Q38,'Base Stations Parameters'!$B:$S,3,0)</f>
        <v>95000</v>
      </c>
      <c r="AB38">
        <f ca="1">ROUNDUP(MAX(T38/W38-V38,U38/X38-V38,0),0)</f>
        <v>0</v>
      </c>
      <c r="AC38" s="130">
        <f ca="1">AB38*AA38</f>
        <v>0</v>
      </c>
      <c r="AF38" s="69" t="s">
        <v>248</v>
      </c>
      <c r="AH38" s="125">
        <v>0.05</v>
      </c>
      <c r="AI38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)*AH38,0)</f>
        <v>62518</v>
      </c>
      <c r="AJ38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)*AH38</f>
        <v>13880.101945733519</v>
      </c>
      <c r="AK38" s="105">
        <f>INDEX('Sites per Region'!$A:$BD, MATCH(AF38,'Sites per Region'!$B:$B,0), MATCH(AG$28,'Sites per Region'!$8:$8, 0))</f>
        <v>45</v>
      </c>
      <c r="AL38" s="105">
        <f>_xlfn.LET(
_xlpm.data,'Base Stations Profiles'!$B:$AI,
_xlpm.colSite,INDEX(_xlpm.data,,1),
_xlpm.colData,INDEX(_xlpm.data,,2),
_xlpm.rowRegion,MATCH(AF38,_xlpm.colSite,0),
_xlpm.rowUser,MATCH("Maximum Simultaneously Active Users per Site",_xlfn.DROP(_xlpm.colSite,_xlpm.rowRegion),0),
INDEX(_xlpm.colData,_xlpm.rowRegion+_xlpm.rowUser))</f>
        <v>1500</v>
      </c>
      <c r="AM38" s="124">
        <f>_xlfn.LET(
    _xlpm.data, 'Base Stations Profiles'!$B:$AJ,
    _xlpm.colSite, INDEX(_xlpm.data,,1),
    _xlpm.colauto, INDEX(_xlpm.data,,3),
    _xlpm.colData, INDEX(_xlpm.data,,2),
    _xlpm.rowRegion, MATCH(AF38, _xlpm.colSite, 0),
    _xlpm.rowThroughput, MATCH("Maximum Throughput for Downlink per Site", _xlfn.DROP(_xlpm.colSite, _xlpm.rowRegion), 0),
    IF(INDEX(_xlpm.colauto, _xlpm.rowRegion + _xlpm.rowThroughput)='Model Configurator Sup'!$M$4,VLOOKUP(AF38,'Base Stations Parameters'!$B:$AI,4,0),INDEX(_xlpm.colData, _xlpm.rowRegion + _xlpm.rowThroughput))
)</f>
        <v>2000</v>
      </c>
      <c r="AN38" s="106">
        <f ca="1">IF($AK38&lt;=0,0,AI38/(AL38*$AK38))</f>
        <v>0.92619259259259257</v>
      </c>
      <c r="AO38" s="106">
        <f ca="1">IF($AK38&lt;=0,0,AJ38/(AM38*$AK38))</f>
        <v>0.15422335495259465</v>
      </c>
      <c r="AP38" s="130">
        <f>VLOOKUP(AF38,'Base Stations Parameters'!$B:$AH,3,0)</f>
        <v>95000</v>
      </c>
      <c r="AQ38">
        <f ca="1">ROUNDUP(MAX(AI38/AL38-AK38,AJ38/AM38-AK38,0),0)</f>
        <v>0</v>
      </c>
      <c r="AR38" s="130">
        <f ca="1">AQ38*AP38</f>
        <v>0</v>
      </c>
    </row>
    <row r="39" spans="2:44" ht="15.75" customHeight="1" thickBot="1" x14ac:dyDescent="0.3">
      <c r="B39" s="69" t="s">
        <v>172</v>
      </c>
      <c r="D39" s="125">
        <v>0.05</v>
      </c>
      <c r="E39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)*D39,0)</f>
        <v>30773</v>
      </c>
      <c r="F39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)*D39</f>
        <v>9534.1417091547428</v>
      </c>
      <c r="G39" s="105">
        <f>INDEX('Sites per Region'!$A:$Z, MATCH(B39,'Sites per Region'!$B:$B,0), MATCH(C$28,'Sites per Region'!$8:$8, 0))</f>
        <v>45</v>
      </c>
      <c r="H39" s="105">
        <f>_xlfn.LET(
_xlpm.data,'Base Stations Profiles'!$B:$E,
_xlpm.colSite,INDEX(_xlpm.data,,1),
_xlpm.colData,INDEX(_xlpm.data,,2),
_xlpm.rowRegion,MATCH(B39,_xlpm.colSite,0),
_xlpm.rowUser,MATCH("Maximum Simultaneously Active Users per Site",_xlfn.DROP(_xlpm.colSite,_xlpm.rowRegion),0),
INDEX(_xlpm.colData,_xlpm.rowRegion+_xlpm.rowUser))</f>
        <v>1500</v>
      </c>
      <c r="I39" s="124">
        <f>_xlfn.LET(
    _xlpm.data, 'Base Stations Profiles'!$B:$F,
    _xlpm.colSite, INDEX(_xlpm.data,,1),
    _xlpm.colauto, INDEX(_xlpm.data,,3),
    _xlpm.colData, INDEX(_xlpm.data,,2),
    _xlpm.rowRegion, MATCH(B39, _xlpm.colSite, 0),
    _xlpm.rowThroughput, MATCH("Maximum Throughput for Downlink per Site", _xlfn.DROP(_xlpm.colSite, _xlpm.rowRegion), 0),
    IF(INDEX(_xlpm.colauto, _xlpm.rowRegion + _xlpm.rowThroughput)='Model Configurator Sup'!$M$4,VLOOKUP(B39,'Base Stations Parameters'!$B:$E,4,0),INDEX(_xlpm.colData, _xlpm.rowRegion + _xlpm.rowThroughput))
)</f>
        <v>2000</v>
      </c>
      <c r="J39" s="106">
        <f ca="1">IF($G39&lt;=0,0,E39/(H39*$G39))</f>
        <v>0.4558962962962963</v>
      </c>
      <c r="K39" s="106">
        <f ca="1">IF($G39&lt;=0,0,F39/(I39*$G39))</f>
        <v>0.10593490787949714</v>
      </c>
      <c r="L39" s="130">
        <f>VLOOKUP(B39,'Base Stations Parameters'!$B:$D,3,0)</f>
        <v>80000</v>
      </c>
      <c r="M39">
        <f ca="1">ROUNDUP(MAX(E39/H39-G39,F39/I39-G39,0),0)</f>
        <v>0</v>
      </c>
      <c r="N39" s="130">
        <f ca="1">M39*L39</f>
        <v>0</v>
      </c>
      <c r="Q39" s="69" t="s">
        <v>172</v>
      </c>
      <c r="S39" s="125">
        <v>0.05</v>
      </c>
      <c r="T39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)*S39,0)</f>
        <v>36960</v>
      </c>
      <c r="U39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)*S39</f>
        <v>10449.37812040887</v>
      </c>
      <c r="V39" s="105">
        <f>INDEX('Sites per Region'!$A:$AO, MATCH(Q39,'Sites per Region'!$B:$B,0), MATCH(R$28,'Sites per Region'!$8:$8, 0))</f>
        <v>45</v>
      </c>
      <c r="W39" s="105">
        <f>_xlfn.LET(
_xlpm.data,'Base Stations Profiles'!$B:$T,
_xlpm.colSite,INDEX(_xlpm.data,,1),
_xlpm.colData,INDEX(_xlpm.data,,2),
_xlpm.rowRegion,MATCH(Q39,_xlpm.colSite,0),
_xlpm.rowUser,MATCH("Maximum Simultaneously Active Users per Site",_xlfn.DROP(_xlpm.colSite,_xlpm.rowRegion),0),
INDEX(_xlpm.colData,_xlpm.rowRegion+_xlpm.rowUser))</f>
        <v>1500</v>
      </c>
      <c r="X39" s="124">
        <f>_xlfn.LET(
    _xlpm.data, 'Base Stations Profiles'!$B:$U,
    _xlpm.colSite, INDEX(_xlpm.data,,1),
    _xlpm.colauto, INDEX(_xlpm.data,,3),
    _xlpm.colData, INDEX(_xlpm.data,,2),
    _xlpm.rowRegion, MATCH(Q39, _xlpm.colSite, 0),
    _xlpm.rowThroughput, MATCH("Maximum Throughput for Downlink per Site", _xlfn.DROP(_xlpm.colSite, _xlpm.rowRegion), 0),
    IF(INDEX(_xlpm.colauto, _xlpm.rowRegion + _xlpm.rowThroughput)='Model Configurator Sup'!$M$4,VLOOKUP(Q39,'Base Stations Parameters'!$B:$T,4,0),INDEX(_xlpm.colData, _xlpm.rowRegion + _xlpm.rowThroughput))
)</f>
        <v>2000</v>
      </c>
      <c r="Y39" s="106">
        <f ca="1">IF($V39&lt;=0,0,T39/(W39*$V39))</f>
        <v>0.54755555555555557</v>
      </c>
      <c r="Z39" s="106">
        <f ca="1">IF($V39&lt;=0,0,U39/(X39*$V39))</f>
        <v>0.11610420133787633</v>
      </c>
      <c r="AA39" s="130">
        <f>VLOOKUP(Q39,'Base Stations Parameters'!$B:$S,3,0)</f>
        <v>80000</v>
      </c>
      <c r="AB39">
        <f ca="1">ROUNDUP(MAX(T39/W39-V39,U39/X39-V39,0),0)</f>
        <v>0</v>
      </c>
      <c r="AC39" s="130">
        <f ca="1">AB39*AA39</f>
        <v>0</v>
      </c>
      <c r="AF39" s="69" t="s">
        <v>172</v>
      </c>
      <c r="AH39" s="125">
        <v>0.05</v>
      </c>
      <c r="AI39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)*AH39,0)</f>
        <v>62518</v>
      </c>
      <c r="AJ39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)*AH39</f>
        <v>13880.101945733519</v>
      </c>
      <c r="AK39" s="105">
        <f>INDEX('Sites per Region'!$A:$BD, MATCH(AF39,'Sites per Region'!$B:$B,0), MATCH(AG$28,'Sites per Region'!$8:$8, 0))</f>
        <v>45</v>
      </c>
      <c r="AL39" s="105">
        <f>_xlfn.LET(
_xlpm.data,'Base Stations Profiles'!$B:$AI,
_xlpm.colSite,INDEX(_xlpm.data,,1),
_xlpm.colData,INDEX(_xlpm.data,,2),
_xlpm.rowRegion,MATCH(AF39,_xlpm.colSite,0),
_xlpm.rowUser,MATCH("Maximum Simultaneously Active Users per Site",_xlfn.DROP(_xlpm.colSite,_xlpm.rowRegion),0),
INDEX(_xlpm.colData,_xlpm.rowRegion+_xlpm.rowUser))</f>
        <v>1500</v>
      </c>
      <c r="AM39" s="124">
        <f>_xlfn.LET(
    _xlpm.data, 'Base Stations Profiles'!$B:$AJ,
    _xlpm.colSite, INDEX(_xlpm.data,,1),
    _xlpm.colauto, INDEX(_xlpm.data,,3),
    _xlpm.colData, INDEX(_xlpm.data,,2),
    _xlpm.rowRegion, MATCH(AF39, _xlpm.colSite, 0),
    _xlpm.rowThroughput, MATCH("Maximum Throughput for Downlink per Site", _xlfn.DROP(_xlpm.colSite, _xlpm.rowRegion), 0),
    IF(INDEX(_xlpm.colauto, _xlpm.rowRegion + _xlpm.rowThroughput)='Model Configurator Sup'!$M$4,VLOOKUP(AF39,'Base Stations Parameters'!$B:$AI,4,0),INDEX(_xlpm.colData, _xlpm.rowRegion + _xlpm.rowThroughput))
)</f>
        <v>2000</v>
      </c>
      <c r="AN39" s="106">
        <f ca="1">IF($AK39&lt;=0,0,AI39/(AL39*$AK39))</f>
        <v>0.92619259259259257</v>
      </c>
      <c r="AO39" s="106">
        <f ca="1">IF($AK39&lt;=0,0,AJ39/(AM39*$AK39))</f>
        <v>0.15422335495259465</v>
      </c>
      <c r="AP39" s="130">
        <f>VLOOKUP(AF39,'Base Stations Parameters'!$B:$AH,3,0)</f>
        <v>80000</v>
      </c>
      <c r="AQ39">
        <f ca="1">ROUNDUP(MAX(AI39/AL39-AK39,AJ39/AM39-AK39,0),0)</f>
        <v>0</v>
      </c>
      <c r="AR39" s="130">
        <f ca="1">AQ39*AP39</f>
        <v>0</v>
      </c>
    </row>
    <row r="40" spans="2:44" ht="15.75" customHeight="1" thickBot="1" x14ac:dyDescent="0.3">
      <c r="B40" s="69" t="s">
        <v>249</v>
      </c>
      <c r="D40" s="125">
        <v>0.05</v>
      </c>
      <c r="E40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)*D40,0)</f>
        <v>30773</v>
      </c>
      <c r="F40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)*D40</f>
        <v>9534.1417091547428</v>
      </c>
      <c r="G40" s="105">
        <f>INDEX('Sites per Region'!$A:$Z, MATCH(B40,'Sites per Region'!$B:$B,0), MATCH(C$28,'Sites per Region'!$8:$8, 0))</f>
        <v>29.5</v>
      </c>
      <c r="H40" s="105">
        <f>_xlfn.LET(
_xlpm.data,'Base Stations Profiles'!$B:$E,
_xlpm.colSite,INDEX(_xlpm.data,,1),
_xlpm.colData,INDEX(_xlpm.data,,2),
_xlpm.rowRegion,MATCH(B40,_xlpm.colSite,0),
_xlpm.rowUser,MATCH("Maximum Simultaneously Active Users per Site",_xlfn.DROP(_xlpm.colSite,_xlpm.rowRegion),0),
INDEX(_xlpm.colData,_xlpm.rowRegion+_xlpm.rowUser))</f>
        <v>800</v>
      </c>
      <c r="I40" s="124">
        <f>_xlfn.LET(
    _xlpm.data, 'Base Stations Profiles'!$B:$F,
    _xlpm.colSite, INDEX(_xlpm.data,,1),
    _xlpm.colauto, INDEX(_xlpm.data,,3),
    _xlpm.colData, INDEX(_xlpm.data,,2),
    _xlpm.rowRegion, MATCH(B40, _xlpm.colSite, 0),
    _xlpm.rowThroughput, MATCH("Maximum Throughput for Downlink per Site", _xlfn.DROP(_xlpm.colSite, _xlpm.rowRegion), 0),
    IF(INDEX(_xlpm.colauto, _xlpm.rowRegion + _xlpm.rowThroughput)='Model Configurator Sup'!$M$4,VLOOKUP(B40,'Base Stations Parameters'!$B:$E,4,0),INDEX(_xlpm.colData, _xlpm.rowRegion + _xlpm.rowThroughput))
)</f>
        <v>1200</v>
      </c>
      <c r="J40" s="106">
        <f ca="1">IF($G40&lt;=0,0,E40/(H40*$G40))</f>
        <v>1.3039406779661018</v>
      </c>
      <c r="K40" s="106">
        <f ca="1">IF($G40&lt;=0,0,F40/(I40*$G40))</f>
        <v>0.26932603698177238</v>
      </c>
      <c r="L40" s="130">
        <f>VLOOKUP(B40,'Base Stations Parameters'!$B:$D,3,0)</f>
        <v>80000</v>
      </c>
      <c r="M40">
        <f ca="1">ROUNDUP(MAX(E40/H40-G40,F40/I40-G40,0),0)</f>
        <v>9</v>
      </c>
      <c r="N40" s="130">
        <f ca="1">M40*L40</f>
        <v>720000</v>
      </c>
      <c r="Q40" s="69" t="s">
        <v>249</v>
      </c>
      <c r="S40" s="125">
        <v>0.05</v>
      </c>
      <c r="T40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)*S40,0)</f>
        <v>36960</v>
      </c>
      <c r="U40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)*S40</f>
        <v>10449.37812040887</v>
      </c>
      <c r="V40" s="105">
        <f>INDEX('Sites per Region'!$A:$AO, MATCH(Q40,'Sites per Region'!$B:$B,0), MATCH(R$28,'Sites per Region'!$8:$8, 0))</f>
        <v>29.5</v>
      </c>
      <c r="W40" s="105">
        <f>_xlfn.LET(
_xlpm.data,'Base Stations Profiles'!$B:$T,
_xlpm.colSite,INDEX(_xlpm.data,,1),
_xlpm.colData,INDEX(_xlpm.data,,2),
_xlpm.rowRegion,MATCH(Q40,_xlpm.colSite,0),
_xlpm.rowUser,MATCH("Maximum Simultaneously Active Users per Site",_xlfn.DROP(_xlpm.colSite,_xlpm.rowRegion),0),
INDEX(_xlpm.colData,_xlpm.rowRegion+_xlpm.rowUser))</f>
        <v>800</v>
      </c>
      <c r="X40" s="124">
        <f>_xlfn.LET(
    _xlpm.data, 'Base Stations Profiles'!$B:$U,
    _xlpm.colSite, INDEX(_xlpm.data,,1),
    _xlpm.colauto, INDEX(_xlpm.data,,3),
    _xlpm.colData, INDEX(_xlpm.data,,2),
    _xlpm.rowRegion, MATCH(Q40, _xlpm.colSite, 0),
    _xlpm.rowThroughput, MATCH("Maximum Throughput for Downlink per Site", _xlfn.DROP(_xlpm.colSite, _xlpm.rowRegion), 0),
    IF(INDEX(_xlpm.colauto, _xlpm.rowRegion + _xlpm.rowThroughput)='Model Configurator Sup'!$M$4,VLOOKUP(Q40,'Base Stations Parameters'!$B:$T,4,0),INDEX(_xlpm.colData, _xlpm.rowRegion + _xlpm.rowThroughput))
)</f>
        <v>1200</v>
      </c>
      <c r="Y40" s="106">
        <f ca="1">IF($V40&lt;=0,0,T40/(W40*$V40))</f>
        <v>1.5661016949152542</v>
      </c>
      <c r="Z40" s="106">
        <f ca="1">IF($V40&lt;=0,0,U40/(X40*$V40))</f>
        <v>0.29518017289290593</v>
      </c>
      <c r="AA40" s="130">
        <f>VLOOKUP(Q40,'Base Stations Parameters'!$B:$S,3,0)</f>
        <v>80000</v>
      </c>
      <c r="AB40">
        <f ca="1">ROUNDUP(MAX(T40/W40-V40,U40/X40-V40,0),0)</f>
        <v>17</v>
      </c>
      <c r="AC40" s="130">
        <f ca="1">AB40*AA40</f>
        <v>1360000</v>
      </c>
      <c r="AF40" s="69" t="s">
        <v>249</v>
      </c>
      <c r="AH40" s="125">
        <v>0.05</v>
      </c>
      <c r="AI40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)*AH40,0)</f>
        <v>62518</v>
      </c>
      <c r="AJ40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)*AH40</f>
        <v>13880.101945733519</v>
      </c>
      <c r="AK40" s="105">
        <f>INDEX('Sites per Region'!$A:$BD, MATCH(AF40,'Sites per Region'!$B:$B,0), MATCH(AG$28,'Sites per Region'!$8:$8, 0))</f>
        <v>29.5</v>
      </c>
      <c r="AL40" s="105">
        <f>_xlfn.LET(
_xlpm.data,'Base Stations Profiles'!$B:$AI,
_xlpm.colSite,INDEX(_xlpm.data,,1),
_xlpm.colData,INDEX(_xlpm.data,,2),
_xlpm.rowRegion,MATCH(AF40,_xlpm.colSite,0),
_xlpm.rowUser,MATCH("Maximum Simultaneously Active Users per Site",_xlfn.DROP(_xlpm.colSite,_xlpm.rowRegion),0),
INDEX(_xlpm.colData,_xlpm.rowRegion+_xlpm.rowUser))</f>
        <v>800</v>
      </c>
      <c r="AM40" s="124">
        <f>_xlfn.LET(
    _xlpm.data, 'Base Stations Profiles'!$B:$AJ,
    _xlpm.colSite, INDEX(_xlpm.data,,1),
    _xlpm.colauto, INDEX(_xlpm.data,,3),
    _xlpm.colData, INDEX(_xlpm.data,,2),
    _xlpm.rowRegion, MATCH(AF40, _xlpm.colSite, 0),
    _xlpm.rowThroughput, MATCH("Maximum Throughput for Downlink per Site", _xlfn.DROP(_xlpm.colSite, _xlpm.rowRegion), 0),
    IF(INDEX(_xlpm.colauto, _xlpm.rowRegion + _xlpm.rowThroughput)='Model Configurator Sup'!$M$4,VLOOKUP(AF40,'Base Stations Parameters'!$B:$AI,4,0),INDEX(_xlpm.colData, _xlpm.rowRegion + _xlpm.rowThroughput))
)</f>
        <v>1200</v>
      </c>
      <c r="AN40" s="106">
        <f ca="1">IF($AK40&lt;=0,0,AI40/(AL40*$AK40))</f>
        <v>2.6490677966101694</v>
      </c>
      <c r="AO40" s="106">
        <f ca="1">IF($AK40&lt;=0,0,AJ40/(AM40*$AK40))</f>
        <v>0.39209327530320676</v>
      </c>
      <c r="AP40" s="130">
        <f>VLOOKUP(AF40,'Base Stations Parameters'!$B:$AH,3,0)</f>
        <v>80000</v>
      </c>
      <c r="AQ40">
        <f ca="1">ROUNDUP(MAX(AI40/AL40-AK40,AJ40/AM40-AK40,0),0)</f>
        <v>49</v>
      </c>
      <c r="AR40" s="130">
        <f ca="1">AQ40*AP40</f>
        <v>3920000</v>
      </c>
    </row>
    <row r="41" spans="2:44" ht="15.75" customHeight="1" thickBot="1" x14ac:dyDescent="0.3">
      <c r="B41" s="69" t="s">
        <v>173</v>
      </c>
      <c r="D41" s="125">
        <v>0.05</v>
      </c>
      <c r="E41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)*D41,0)</f>
        <v>30773</v>
      </c>
      <c r="F41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)*D41</f>
        <v>9534.1417091547428</v>
      </c>
      <c r="G41" s="105">
        <f>INDEX('Sites per Region'!$A:$Z, MATCH(B41,'Sites per Region'!$B:$B,0), MATCH(C$28,'Sites per Region'!$8:$8, 0))</f>
        <v>29.5</v>
      </c>
      <c r="H41" s="105">
        <f>_xlfn.LET(
_xlpm.data,'Base Stations Profiles'!$B:$E,
_xlpm.colSite,INDEX(_xlpm.data,,1),
_xlpm.colData,INDEX(_xlpm.data,,2),
_xlpm.rowRegion,MATCH(B41,_xlpm.colSite,0),
_xlpm.rowUser,MATCH("Maximum Simultaneously Active Users per Site",_xlfn.DROP(_xlpm.colSite,_xlpm.rowRegion),0),
INDEX(_xlpm.colData,_xlpm.rowRegion+_xlpm.rowUser))</f>
        <v>800</v>
      </c>
      <c r="I41" s="124">
        <f>_xlfn.LET(
    _xlpm.data, 'Base Stations Profiles'!$B:$F,
    _xlpm.colSite, INDEX(_xlpm.data,,1),
    _xlpm.colauto, INDEX(_xlpm.data,,3),
    _xlpm.colData, INDEX(_xlpm.data,,2),
    _xlpm.rowRegion, MATCH(B41, _xlpm.colSite, 0),
    _xlpm.rowThroughput, MATCH("Maximum Throughput for Downlink per Site", _xlfn.DROP(_xlpm.colSite, _xlpm.rowRegion), 0),
    IF(INDEX(_xlpm.colauto, _xlpm.rowRegion + _xlpm.rowThroughput)='Model Configurator Sup'!$M$4,VLOOKUP(B41,'Base Stations Parameters'!$B:$E,4,0),INDEX(_xlpm.colData, _xlpm.rowRegion + _xlpm.rowThroughput))
)</f>
        <v>1200</v>
      </c>
      <c r="J41" s="106">
        <f ca="1">IF($G41&lt;=0,0,E41/(H41*$G41))</f>
        <v>1.3039406779661018</v>
      </c>
      <c r="K41" s="106">
        <f ca="1">IF($G41&lt;=0,0,F41/(I41*$G41))</f>
        <v>0.26932603698177238</v>
      </c>
      <c r="L41" s="130">
        <f>VLOOKUP(B41,'Base Stations Parameters'!$B:$D,3,0)</f>
        <v>60000</v>
      </c>
      <c r="M41">
        <f ca="1">ROUNDUP(MAX(E41/H41-G41,F41/I41-G41,0),0)</f>
        <v>9</v>
      </c>
      <c r="N41" s="130">
        <f ca="1">M41*L41</f>
        <v>540000</v>
      </c>
      <c r="Q41" s="69" t="s">
        <v>173</v>
      </c>
      <c r="S41" s="125">
        <v>0.05</v>
      </c>
      <c r="T41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)*S41,0)</f>
        <v>36960</v>
      </c>
      <c r="U41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)*S41</f>
        <v>10449.37812040887</v>
      </c>
      <c r="V41" s="105">
        <f>INDEX('Sites per Region'!$A:$AO, MATCH(Q41,'Sites per Region'!$B:$B,0), MATCH(R$28,'Sites per Region'!$8:$8, 0))</f>
        <v>29.5</v>
      </c>
      <c r="W41" s="105">
        <f>_xlfn.LET(
_xlpm.data,'Base Stations Profiles'!$B:$T,
_xlpm.colSite,INDEX(_xlpm.data,,1),
_xlpm.colData,INDEX(_xlpm.data,,2),
_xlpm.rowRegion,MATCH(Q41,_xlpm.colSite,0),
_xlpm.rowUser,MATCH("Maximum Simultaneously Active Users per Site",_xlfn.DROP(_xlpm.colSite,_xlpm.rowRegion),0),
INDEX(_xlpm.colData,_xlpm.rowRegion+_xlpm.rowUser))</f>
        <v>800</v>
      </c>
      <c r="X41" s="124">
        <f>_xlfn.LET(
    _xlpm.data, 'Base Stations Profiles'!$B:$U,
    _xlpm.colSite, INDEX(_xlpm.data,,1),
    _xlpm.colauto, INDEX(_xlpm.data,,3),
    _xlpm.colData, INDEX(_xlpm.data,,2),
    _xlpm.rowRegion, MATCH(Q41, _xlpm.colSite, 0),
    _xlpm.rowThroughput, MATCH("Maximum Throughput for Downlink per Site", _xlfn.DROP(_xlpm.colSite, _xlpm.rowRegion), 0),
    IF(INDEX(_xlpm.colauto, _xlpm.rowRegion + _xlpm.rowThroughput)='Model Configurator Sup'!$M$4,VLOOKUP(Q41,'Base Stations Parameters'!$B:$T,4,0),INDEX(_xlpm.colData, _xlpm.rowRegion + _xlpm.rowThroughput))
)</f>
        <v>1200</v>
      </c>
      <c r="Y41" s="106">
        <f ca="1">IF($V41&lt;=0,0,T41/(W41*$V41))</f>
        <v>1.5661016949152542</v>
      </c>
      <c r="Z41" s="106">
        <f ca="1">IF($V41&lt;=0,0,U41/(X41*$V41))</f>
        <v>0.29518017289290593</v>
      </c>
      <c r="AA41" s="130">
        <f>VLOOKUP(Q41,'Base Stations Parameters'!$B:$S,3,0)</f>
        <v>60000</v>
      </c>
      <c r="AB41">
        <f ca="1">ROUNDUP(MAX(T41/W41-V41,U41/X41-V41,0),0)</f>
        <v>17</v>
      </c>
      <c r="AC41" s="130">
        <f ca="1">AB41*AA41</f>
        <v>1020000</v>
      </c>
      <c r="AF41" s="69" t="s">
        <v>173</v>
      </c>
      <c r="AH41" s="125">
        <v>0.05</v>
      </c>
      <c r="AI41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)*AH41,0)</f>
        <v>62518</v>
      </c>
      <c r="AJ41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)*AH41</f>
        <v>13880.101945733519</v>
      </c>
      <c r="AK41" s="105">
        <f>INDEX('Sites per Region'!$A:$BD, MATCH(AF41,'Sites per Region'!$B:$B,0), MATCH(AG$28,'Sites per Region'!$8:$8, 0))</f>
        <v>29.5</v>
      </c>
      <c r="AL41" s="105">
        <f>_xlfn.LET(
_xlpm.data,'Base Stations Profiles'!$B:$AI,
_xlpm.colSite,INDEX(_xlpm.data,,1),
_xlpm.colData,INDEX(_xlpm.data,,2),
_xlpm.rowRegion,MATCH(AF41,_xlpm.colSite,0),
_xlpm.rowUser,MATCH("Maximum Simultaneously Active Users per Site",_xlfn.DROP(_xlpm.colSite,_xlpm.rowRegion),0),
INDEX(_xlpm.colData,_xlpm.rowRegion+_xlpm.rowUser))</f>
        <v>800</v>
      </c>
      <c r="AM41" s="124">
        <f>_xlfn.LET(
    _xlpm.data, 'Base Stations Profiles'!$B:$AJ,
    _xlpm.colSite, INDEX(_xlpm.data,,1),
    _xlpm.colauto, INDEX(_xlpm.data,,3),
    _xlpm.colData, INDEX(_xlpm.data,,2),
    _xlpm.rowRegion, MATCH(AF41, _xlpm.colSite, 0),
    _xlpm.rowThroughput, MATCH("Maximum Throughput for Downlink per Site", _xlfn.DROP(_xlpm.colSite, _xlpm.rowRegion), 0),
    IF(INDEX(_xlpm.colauto, _xlpm.rowRegion + _xlpm.rowThroughput)='Model Configurator Sup'!$M$4,VLOOKUP(AF41,'Base Stations Parameters'!$B:$AI,4,0),INDEX(_xlpm.colData, _xlpm.rowRegion + _xlpm.rowThroughput))
)</f>
        <v>1200</v>
      </c>
      <c r="AN41" s="106">
        <f ca="1">IF($AK41&lt;=0,0,AI41/(AL41*$AK41))</f>
        <v>2.6490677966101694</v>
      </c>
      <c r="AO41" s="106">
        <f ca="1">IF($AK41&lt;=0,0,AJ41/(AM41*$AK41))</f>
        <v>0.39209327530320676</v>
      </c>
      <c r="AP41" s="130">
        <f>VLOOKUP(AF41,'Base Stations Parameters'!$B:$AH,3,0)</f>
        <v>60000</v>
      </c>
      <c r="AQ41">
        <f ca="1">ROUNDUP(MAX(AI41/AL41-AK41,AJ41/AM41-AK41,0),0)</f>
        <v>49</v>
      </c>
      <c r="AR41" s="130">
        <f ca="1">AQ41*AP41</f>
        <v>2940000</v>
      </c>
    </row>
    <row r="42" spans="2:44" ht="15.75" customHeight="1" thickBot="1" x14ac:dyDescent="0.3">
      <c r="B42" s="69" t="s">
        <v>250</v>
      </c>
      <c r="D42" s="125">
        <v>2.5000000000000001E-2</v>
      </c>
      <c r="E42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)*D42,0)</f>
        <v>15386</v>
      </c>
      <c r="F42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)*D42</f>
        <v>4767.0708545773714</v>
      </c>
      <c r="G42" s="105">
        <f>INDEX('Sites per Region'!$A:$Z, MATCH(B42,'Sites per Region'!$B:$B,0), MATCH(C$28,'Sites per Region'!$8:$8, 0))</f>
        <v>48</v>
      </c>
      <c r="H42" s="105">
        <f>_xlfn.LET(
_xlpm.data,'Base Stations Profiles'!$B:$E,
_xlpm.colSite,INDEX(_xlpm.data,,1),
_xlpm.colData,INDEX(_xlpm.data,,2),
_xlpm.rowRegion,MATCH(B42,_xlpm.colSite,0),
_xlpm.rowUser,MATCH("Maximum Simultaneously Active Users per Site",_xlfn.DROP(_xlpm.colSite,_xlpm.rowRegion),0),
INDEX(_xlpm.colData,_xlpm.rowRegion+_xlpm.rowUser))</f>
        <v>400</v>
      </c>
      <c r="I42" s="124">
        <f>_xlfn.LET(
    _xlpm.data, 'Base Stations Profiles'!$B:$F,
    _xlpm.colSite, INDEX(_xlpm.data,,1),
    _xlpm.colauto, INDEX(_xlpm.data,,3),
    _xlpm.colData, INDEX(_xlpm.data,,2),
    _xlpm.rowRegion, MATCH(B42, _xlpm.colSite, 0),
    _xlpm.rowThroughput, MATCH("Maximum Throughput for Downlink per Site", _xlfn.DROP(_xlpm.colSite, _xlpm.rowRegion), 0),
    IF(INDEX(_xlpm.colauto, _xlpm.rowRegion + _xlpm.rowThroughput)='Model Configurator Sup'!$M$4,VLOOKUP(B42,'Base Stations Parameters'!$B:$E,4,0),INDEX(_xlpm.colData, _xlpm.rowRegion + _xlpm.rowThroughput))
)</f>
        <v>300</v>
      </c>
      <c r="J42" s="106">
        <f ca="1">IF($G42&lt;=0,0,E42/(H42*$G42))</f>
        <v>0.8013541666666667</v>
      </c>
      <c r="K42" s="106">
        <f ca="1">IF($G42&lt;=0,0,F42/(I42*$G42))</f>
        <v>0.33104658712342855</v>
      </c>
      <c r="L42" s="130">
        <f>VLOOKUP(B42,'Base Stations Parameters'!$B:$D,3,0)</f>
        <v>60000</v>
      </c>
      <c r="M42">
        <f ca="1">ROUNDUP(MAX(E42/H42-G42,F42/I42-G42,0),0)</f>
        <v>0</v>
      </c>
      <c r="N42" s="130">
        <f ca="1">M42*L42</f>
        <v>0</v>
      </c>
      <c r="Q42" s="69" t="s">
        <v>250</v>
      </c>
      <c r="S42" s="125">
        <v>2.5000000000000001E-2</v>
      </c>
      <c r="T42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)*S42,0)</f>
        <v>18480</v>
      </c>
      <c r="U42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)*S42</f>
        <v>5224.689060204435</v>
      </c>
      <c r="V42" s="105">
        <f>INDEX('Sites per Region'!$A:$AO, MATCH(Q42,'Sites per Region'!$B:$B,0), MATCH(R$28,'Sites per Region'!$8:$8, 0))</f>
        <v>48</v>
      </c>
      <c r="W42" s="105">
        <f>_xlfn.LET(
_xlpm.data,'Base Stations Profiles'!$B:$T,
_xlpm.colSite,INDEX(_xlpm.data,,1),
_xlpm.colData,INDEX(_xlpm.data,,2),
_xlpm.rowRegion,MATCH(Q42,_xlpm.colSite,0),
_xlpm.rowUser,MATCH("Maximum Simultaneously Active Users per Site",_xlfn.DROP(_xlpm.colSite,_xlpm.rowRegion),0),
INDEX(_xlpm.colData,_xlpm.rowRegion+_xlpm.rowUser))</f>
        <v>400</v>
      </c>
      <c r="X42" s="124">
        <f>_xlfn.LET(
    _xlpm.data, 'Base Stations Profiles'!$B:$U,
    _xlpm.colSite, INDEX(_xlpm.data,,1),
    _xlpm.colauto, INDEX(_xlpm.data,,3),
    _xlpm.colData, INDEX(_xlpm.data,,2),
    _xlpm.rowRegion, MATCH(Q42, _xlpm.colSite, 0),
    _xlpm.rowThroughput, MATCH("Maximum Throughput for Downlink per Site", _xlfn.DROP(_xlpm.colSite, _xlpm.rowRegion), 0),
    IF(INDEX(_xlpm.colauto, _xlpm.rowRegion + _xlpm.rowThroughput)='Model Configurator Sup'!$M$4,VLOOKUP(Q42,'Base Stations Parameters'!$B:$T,4,0),INDEX(_xlpm.colData, _xlpm.rowRegion + _xlpm.rowThroughput))
)</f>
        <v>300</v>
      </c>
      <c r="Y42" s="106">
        <f ca="1">IF($V42&lt;=0,0,T42/(W42*$V42))</f>
        <v>0.96250000000000002</v>
      </c>
      <c r="Z42" s="106">
        <f ca="1">IF($V42&lt;=0,0,U42/(X42*$V42))</f>
        <v>0.36282562918086353</v>
      </c>
      <c r="AA42" s="130">
        <f>VLOOKUP(Q42,'Base Stations Parameters'!$B:$S,3,0)</f>
        <v>60000</v>
      </c>
      <c r="AB42">
        <f ca="1">ROUNDUP(MAX(T42/W42-V42,U42/X42-V42,0),0)</f>
        <v>0</v>
      </c>
      <c r="AC42" s="130">
        <f ca="1">AB42*AA42</f>
        <v>0</v>
      </c>
      <c r="AF42" s="69" t="s">
        <v>250</v>
      </c>
      <c r="AH42" s="125">
        <v>2.5000000000000001E-2</v>
      </c>
      <c r="AI42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)*AH42,0)</f>
        <v>31259</v>
      </c>
      <c r="AJ42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)*AH42</f>
        <v>6940.0509728667594</v>
      </c>
      <c r="AK42" s="105">
        <f>INDEX('Sites per Region'!$A:$BD, MATCH(AF42,'Sites per Region'!$B:$B,0), MATCH(AG$28,'Sites per Region'!$8:$8, 0))</f>
        <v>48</v>
      </c>
      <c r="AL42" s="105">
        <f>_xlfn.LET(
_xlpm.data,'Base Stations Profiles'!$B:$AI,
_xlpm.colSite,INDEX(_xlpm.data,,1),
_xlpm.colData,INDEX(_xlpm.data,,2),
_xlpm.rowRegion,MATCH(AF42,_xlpm.colSite,0),
_xlpm.rowUser,MATCH("Maximum Simultaneously Active Users per Site",_xlfn.DROP(_xlpm.colSite,_xlpm.rowRegion),0),
INDEX(_xlpm.colData,_xlpm.rowRegion+_xlpm.rowUser))</f>
        <v>400</v>
      </c>
      <c r="AM42" s="124">
        <f>_xlfn.LET(
    _xlpm.data, 'Base Stations Profiles'!$B:$AJ,
    _xlpm.colSite, INDEX(_xlpm.data,,1),
    _xlpm.colauto, INDEX(_xlpm.data,,3),
    _xlpm.colData, INDEX(_xlpm.data,,2),
    _xlpm.rowRegion, MATCH(AF42, _xlpm.colSite, 0),
    _xlpm.rowThroughput, MATCH("Maximum Throughput for Downlink per Site", _xlfn.DROP(_xlpm.colSite, _xlpm.rowRegion), 0),
    IF(INDEX(_xlpm.colauto, _xlpm.rowRegion + _xlpm.rowThroughput)='Model Configurator Sup'!$M$4,VLOOKUP(AF42,'Base Stations Parameters'!$B:$AI,4,0),INDEX(_xlpm.colData, _xlpm.rowRegion + _xlpm.rowThroughput))
)</f>
        <v>300</v>
      </c>
      <c r="AN42" s="106">
        <f ca="1">IF($AK42&lt;=0,0,AI42/(AL42*$AK42))</f>
        <v>1.6280729166666668</v>
      </c>
      <c r="AO42" s="106">
        <f ca="1">IF($AK42&lt;=0,0,AJ42/(AM42*$AK42))</f>
        <v>0.48194798422685831</v>
      </c>
      <c r="AP42" s="130">
        <f>VLOOKUP(AF42,'Base Stations Parameters'!$B:$AH,3,0)</f>
        <v>60000</v>
      </c>
      <c r="AQ42">
        <f ca="1">ROUNDUP(MAX(AI42/AL42-AK42,AJ42/AM42-AK42,0),0)</f>
        <v>31</v>
      </c>
      <c r="AR42" s="130">
        <f ca="1">AQ42*AP42</f>
        <v>1860000</v>
      </c>
    </row>
    <row r="43" spans="2:44" ht="15.75" customHeight="1" thickBot="1" x14ac:dyDescent="0.3">
      <c r="B43" s="69" t="s">
        <v>174</v>
      </c>
      <c r="D43" s="125">
        <v>2.5000000000000001E-2</v>
      </c>
      <c r="E43" s="123">
        <f ca="1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)*D43,0)</f>
        <v>15386</v>
      </c>
      <c r="F43" s="122">
        <f ca="1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)*D43</f>
        <v>4767.0708545773714</v>
      </c>
      <c r="G43" s="105">
        <f>INDEX('Sites per Region'!$A:$Z, MATCH(B43,'Sites per Region'!$B:$B,0), MATCH(C$28,'Sites per Region'!$8:$8, 0))</f>
        <v>48</v>
      </c>
      <c r="H43" s="105">
        <f>_xlfn.LET(
_xlpm.data,'Base Stations Profiles'!$B:$E,
_xlpm.colSite,INDEX(_xlpm.data,,1),
_xlpm.colData,INDEX(_xlpm.data,,2),
_xlpm.rowRegion,MATCH(B43,_xlpm.colSite,0),
_xlpm.rowUser,MATCH("Maximum Simultaneously Active Users per Site",_xlfn.DROP(_xlpm.colSite,_xlpm.rowRegion),0),
INDEX(_xlpm.colData,_xlpm.rowRegion+_xlpm.rowUser))</f>
        <v>400</v>
      </c>
      <c r="I43" s="124">
        <f>_xlfn.LET(
    _xlpm.data, 'Base Stations Profiles'!$B:$F,
    _xlpm.colSite, INDEX(_xlpm.data,,1),
    _xlpm.colauto, INDEX(_xlpm.data,,3),
    _xlpm.colData, INDEX(_xlpm.data,,2),
    _xlpm.rowRegion, MATCH(B43, _xlpm.colSite, 0),
    _xlpm.rowThroughput, MATCH("Maximum Throughput for Downlink per Site", _xlfn.DROP(_xlpm.colSite, _xlpm.rowRegion), 0),
    IF(INDEX(_xlpm.colauto, _xlpm.rowRegion + _xlpm.rowThroughput)='Model Configurator Sup'!$M$4,VLOOKUP(B43,'Base Stations Parameters'!$B:$E,4,0),INDEX(_xlpm.colData, _xlpm.rowRegion + _xlpm.rowThroughput))
)</f>
        <v>300</v>
      </c>
      <c r="J43" s="106">
        <f ca="1">IF($G43&lt;=0,0,E43/(H43*$G43))</f>
        <v>0.8013541666666667</v>
      </c>
      <c r="K43" s="106">
        <f ca="1">IF($G43&lt;=0,0,F43/(I43*$G43))</f>
        <v>0.33104658712342855</v>
      </c>
      <c r="L43" s="130">
        <f>VLOOKUP(B43,'Base Stations Parameters'!$B:$D,3,0)</f>
        <v>0</v>
      </c>
      <c r="M43">
        <f ca="1">ROUNDUP(MAX(E43/H43-G43,F43/I43-G43,0),0)</f>
        <v>0</v>
      </c>
      <c r="N43" s="130">
        <f ca="1">M43*L43</f>
        <v>0</v>
      </c>
      <c r="Q43" s="69" t="s">
        <v>174</v>
      </c>
      <c r="S43" s="125">
        <v>2.5000000000000001E-2</v>
      </c>
      <c r="T43" s="123">
        <f ca="1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)*S43,0)</f>
        <v>18480</v>
      </c>
      <c r="U43" s="122">
        <f ca="1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)*S43</f>
        <v>5224.689060204435</v>
      </c>
      <c r="V43" s="105">
        <f>INDEX('Sites per Region'!$A:$AO, MATCH(Q43,'Sites per Region'!$B:$B,0), MATCH(R$28,'Sites per Region'!$8:$8, 0))</f>
        <v>48</v>
      </c>
      <c r="W43" s="105">
        <f>_xlfn.LET(
_xlpm.data,'Base Stations Profiles'!$B:$T,
_xlpm.colSite,INDEX(_xlpm.data,,1),
_xlpm.colData,INDEX(_xlpm.data,,2),
_xlpm.rowRegion,MATCH(Q43,_xlpm.colSite,0),
_xlpm.rowUser,MATCH("Maximum Simultaneously Active Users per Site",_xlfn.DROP(_xlpm.colSite,_xlpm.rowRegion),0),
INDEX(_xlpm.colData,_xlpm.rowRegion+_xlpm.rowUser))</f>
        <v>400</v>
      </c>
      <c r="X43" s="124">
        <f>_xlfn.LET(
    _xlpm.data, 'Base Stations Profiles'!$B:$U,
    _xlpm.colSite, INDEX(_xlpm.data,,1),
    _xlpm.colauto, INDEX(_xlpm.data,,3),
    _xlpm.colData, INDEX(_xlpm.data,,2),
    _xlpm.rowRegion, MATCH(Q43, _xlpm.colSite, 0),
    _xlpm.rowThroughput, MATCH("Maximum Throughput for Downlink per Site", _xlfn.DROP(_xlpm.colSite, _xlpm.rowRegion), 0),
    IF(INDEX(_xlpm.colauto, _xlpm.rowRegion + _xlpm.rowThroughput)='Model Configurator Sup'!$M$4,VLOOKUP(Q43,'Base Stations Parameters'!$B:$T,4,0),INDEX(_xlpm.colData, _xlpm.rowRegion + _xlpm.rowThroughput))
)</f>
        <v>300</v>
      </c>
      <c r="Y43" s="106">
        <f ca="1">IF($V43&lt;=0,0,T43/(W43*$V43))</f>
        <v>0.96250000000000002</v>
      </c>
      <c r="Z43" s="106">
        <f ca="1">IF($V43&lt;=0,0,U43/(X43*$V43))</f>
        <v>0.36282562918086353</v>
      </c>
      <c r="AA43" s="130">
        <f>VLOOKUP(Q43,'Base Stations Parameters'!$B:$S,3,0)</f>
        <v>0</v>
      </c>
      <c r="AB43">
        <f ca="1">ROUNDUP(MAX(T43/W43-V43,U43/X43-V43,0),0)</f>
        <v>0</v>
      </c>
      <c r="AC43" s="130">
        <f ca="1">AB43*AA43</f>
        <v>0</v>
      </c>
      <c r="AF43" s="69" t="s">
        <v>174</v>
      </c>
      <c r="AH43" s="125">
        <v>2.5000000000000001E-2</v>
      </c>
      <c r="AI43" s="123">
        <f ca="1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)*AH43,0)</f>
        <v>31259</v>
      </c>
      <c r="AJ43" s="122">
        <f ca="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)*AH43</f>
        <v>6940.0509728667594</v>
      </c>
      <c r="AK43" s="105">
        <f>INDEX('Sites per Region'!$A:$BD, MATCH(AF43,'Sites per Region'!$B:$B,0), MATCH(AG$28,'Sites per Region'!$8:$8, 0))</f>
        <v>48</v>
      </c>
      <c r="AL43" s="105">
        <f>_xlfn.LET(
_xlpm.data,'Base Stations Profiles'!$B:$AI,
_xlpm.colSite,INDEX(_xlpm.data,,1),
_xlpm.colData,INDEX(_xlpm.data,,2),
_xlpm.rowRegion,MATCH(AF43,_xlpm.colSite,0),
_xlpm.rowUser,MATCH("Maximum Simultaneously Active Users per Site",_xlfn.DROP(_xlpm.colSite,_xlpm.rowRegion),0),
INDEX(_xlpm.colData,_xlpm.rowRegion+_xlpm.rowUser))</f>
        <v>400</v>
      </c>
      <c r="AM43" s="124">
        <f>_xlfn.LET(
    _xlpm.data, 'Base Stations Profiles'!$B:$AJ,
    _xlpm.colSite, INDEX(_xlpm.data,,1),
    _xlpm.colauto, INDEX(_xlpm.data,,3),
    _xlpm.colData, INDEX(_xlpm.data,,2),
    _xlpm.rowRegion, MATCH(AF43, _xlpm.colSite, 0),
    _xlpm.rowThroughput, MATCH("Maximum Throughput for Downlink per Site", _xlfn.DROP(_xlpm.colSite, _xlpm.rowRegion), 0),
    IF(INDEX(_xlpm.colauto, _xlpm.rowRegion + _xlpm.rowThroughput)='Model Configurator Sup'!$M$4,VLOOKUP(AF43,'Base Stations Parameters'!$B:$AI,4,0),INDEX(_xlpm.colData, _xlpm.rowRegion + _xlpm.rowThroughput))
)</f>
        <v>300</v>
      </c>
      <c r="AN43" s="106">
        <f ca="1">IF($AK43&lt;=0,0,AI43/(AL43*$AK43))</f>
        <v>1.6280729166666668</v>
      </c>
      <c r="AO43" s="106">
        <f ca="1">IF($AK43&lt;=0,0,AJ43/(AM43*$AK43))</f>
        <v>0.48194798422685831</v>
      </c>
      <c r="AP43" s="130">
        <f>VLOOKUP(AF43,'Base Stations Parameters'!$B:$AH,3,0)</f>
        <v>0</v>
      </c>
      <c r="AQ43">
        <f ca="1">ROUNDUP(MAX(AI43/AL43-AK43,AJ43/AM43-AK43,0),0)</f>
        <v>31</v>
      </c>
      <c r="AR43" s="130">
        <f ca="1">AQ43*AP43</f>
        <v>0</v>
      </c>
    </row>
    <row r="44" spans="2:44" ht="15" customHeight="1" x14ac:dyDescent="0.25">
      <c r="B44" s="116" t="s">
        <v>182</v>
      </c>
      <c r="D44" s="126">
        <f>SUM(D32:D43)</f>
        <v>1</v>
      </c>
      <c r="E44" s="127">
        <f ca="1">SUM(E32:E43)</f>
        <v>615458</v>
      </c>
      <c r="F44" s="128">
        <f ca="1">SUM(F32:F43)</f>
        <v>190682.83418309482</v>
      </c>
      <c r="H44" s="113"/>
      <c r="I44" s="115"/>
      <c r="L44" s="115"/>
      <c r="M44" s="129">
        <f ca="1">SUM(M32:M43)</f>
        <v>116</v>
      </c>
      <c r="N44" s="131">
        <f ca="1">SUM(N32:N43)</f>
        <v>11715000</v>
      </c>
      <c r="Q44" s="116" t="s">
        <v>182</v>
      </c>
      <c r="S44" s="126">
        <f>SUM(S32:S43)</f>
        <v>1</v>
      </c>
      <c r="T44" s="127">
        <f ca="1">SUM(T32:T43)</f>
        <v>739200</v>
      </c>
      <c r="U44" s="128">
        <f ca="1">SUM(U32:U43)</f>
        <v>208987.5624081773</v>
      </c>
      <c r="W44" s="113"/>
      <c r="X44" s="115"/>
      <c r="AA44" s="115"/>
      <c r="AB44" s="129">
        <f ca="1">SUM(AB32:AB43)</f>
        <v>184</v>
      </c>
      <c r="AC44" s="131">
        <f ca="1">SUM(AC32:AC43)</f>
        <v>18755000</v>
      </c>
      <c r="AF44" s="116" t="s">
        <v>182</v>
      </c>
      <c r="AH44" s="126">
        <f>SUM(AH32:AH43)</f>
        <v>1</v>
      </c>
      <c r="AI44" s="127">
        <f ca="1">SUM(AI32:AI43)</f>
        <v>1250370</v>
      </c>
      <c r="AJ44" s="128">
        <f ca="1">SUM(AJ32:AJ43)</f>
        <v>277602.03891467035</v>
      </c>
      <c r="AL44" s="113"/>
      <c r="AM44" s="115"/>
      <c r="AP44" s="115"/>
      <c r="AQ44" s="129">
        <f ca="1">SUM(AQ32:AQ43)</f>
        <v>580</v>
      </c>
      <c r="AR44" s="131">
        <f ca="1">SUM(AR32:AR43)</f>
        <v>57895000</v>
      </c>
    </row>
    <row r="46" spans="2:44" ht="15" customHeight="1" x14ac:dyDescent="0.25">
      <c r="C46">
        <v>2023</v>
      </c>
      <c r="R46">
        <v>2025</v>
      </c>
      <c r="AG46">
        <v>2030</v>
      </c>
    </row>
    <row r="47" spans="2:44" ht="20.100000000000001" customHeight="1" x14ac:dyDescent="0.25">
      <c r="C47" s="102" t="s">
        <v>12</v>
      </c>
      <c r="R47" s="102" t="s">
        <v>12</v>
      </c>
      <c r="AG47" s="102" t="s">
        <v>12</v>
      </c>
    </row>
    <row r="48" spans="2:44" ht="15" customHeight="1" thickBot="1" x14ac:dyDescent="0.3"/>
    <row r="49" spans="2:44" ht="15" customHeight="1" thickBot="1" x14ac:dyDescent="0.3">
      <c r="B49" s="138" t="s">
        <v>143</v>
      </c>
      <c r="C49" s="117"/>
      <c r="D49" s="152" t="s">
        <v>203</v>
      </c>
      <c r="E49" s="142" t="s">
        <v>218</v>
      </c>
      <c r="F49" s="144"/>
      <c r="G49" s="152" t="s">
        <v>215</v>
      </c>
      <c r="H49" s="142" t="s">
        <v>217</v>
      </c>
      <c r="I49" s="144"/>
      <c r="J49" s="142" t="s">
        <v>184</v>
      </c>
      <c r="K49" s="144"/>
      <c r="L49" s="142" t="s">
        <v>131</v>
      </c>
      <c r="M49" s="143"/>
      <c r="N49" s="144"/>
      <c r="Q49" s="138" t="s">
        <v>143</v>
      </c>
      <c r="R49" s="117"/>
      <c r="S49" s="152" t="s">
        <v>203</v>
      </c>
      <c r="T49" s="142" t="s">
        <v>218</v>
      </c>
      <c r="U49" s="144"/>
      <c r="V49" s="152" t="s">
        <v>215</v>
      </c>
      <c r="W49" s="142" t="s">
        <v>217</v>
      </c>
      <c r="X49" s="144"/>
      <c r="Y49" s="142" t="s">
        <v>184</v>
      </c>
      <c r="Z49" s="144"/>
      <c r="AA49" s="142" t="s">
        <v>131</v>
      </c>
      <c r="AB49" s="143"/>
      <c r="AC49" s="144"/>
      <c r="AF49" s="138" t="s">
        <v>143</v>
      </c>
      <c r="AG49" s="117"/>
      <c r="AH49" s="152" t="s">
        <v>203</v>
      </c>
      <c r="AI49" s="142" t="s">
        <v>218</v>
      </c>
      <c r="AJ49" s="144"/>
      <c r="AK49" s="152" t="s">
        <v>215</v>
      </c>
      <c r="AL49" s="142" t="s">
        <v>217</v>
      </c>
      <c r="AM49" s="144"/>
      <c r="AN49" s="142" t="s">
        <v>184</v>
      </c>
      <c r="AO49" s="144"/>
      <c r="AP49" s="142" t="s">
        <v>131</v>
      </c>
      <c r="AQ49" s="143"/>
      <c r="AR49" s="144"/>
    </row>
    <row r="50" spans="2:44" ht="30.75" customHeight="1" thickBot="1" x14ac:dyDescent="0.3">
      <c r="B50" s="139"/>
      <c r="C50" s="117"/>
      <c r="D50" s="153"/>
      <c r="E50" s="10" t="s">
        <v>185</v>
      </c>
      <c r="F50" s="10" t="s">
        <v>204</v>
      </c>
      <c r="G50" s="153"/>
      <c r="H50" s="10" t="s">
        <v>185</v>
      </c>
      <c r="I50" s="10" t="s">
        <v>204</v>
      </c>
      <c r="J50" s="10" t="s">
        <v>185</v>
      </c>
      <c r="K50" s="10" t="s">
        <v>204</v>
      </c>
      <c r="L50" s="10" t="s">
        <v>243</v>
      </c>
      <c r="M50" s="10" t="s">
        <v>195</v>
      </c>
      <c r="N50" s="10" t="s">
        <v>244</v>
      </c>
      <c r="Q50" s="139"/>
      <c r="R50" s="117"/>
      <c r="S50" s="153"/>
      <c r="T50" s="10" t="s">
        <v>185</v>
      </c>
      <c r="U50" s="10" t="s">
        <v>204</v>
      </c>
      <c r="V50" s="153"/>
      <c r="W50" s="10" t="s">
        <v>185</v>
      </c>
      <c r="X50" s="10" t="s">
        <v>204</v>
      </c>
      <c r="Y50" s="10" t="s">
        <v>185</v>
      </c>
      <c r="Z50" s="10" t="s">
        <v>204</v>
      </c>
      <c r="AA50" s="10" t="s">
        <v>243</v>
      </c>
      <c r="AB50" s="10" t="s">
        <v>195</v>
      </c>
      <c r="AC50" s="10" t="s">
        <v>244</v>
      </c>
      <c r="AF50" s="139"/>
      <c r="AG50" s="117"/>
      <c r="AH50" s="153"/>
      <c r="AI50" s="10" t="s">
        <v>185</v>
      </c>
      <c r="AJ50" s="10" t="s">
        <v>204</v>
      </c>
      <c r="AK50" s="153"/>
      <c r="AL50" s="10" t="s">
        <v>185</v>
      </c>
      <c r="AM50" s="10" t="s">
        <v>204</v>
      </c>
      <c r="AN50" s="10" t="s">
        <v>185</v>
      </c>
      <c r="AO50" s="10" t="s">
        <v>204</v>
      </c>
      <c r="AP50" s="10" t="s">
        <v>243</v>
      </c>
      <c r="AQ50" s="10" t="s">
        <v>195</v>
      </c>
      <c r="AR50" s="10" t="s">
        <v>244</v>
      </c>
    </row>
    <row r="51" spans="2:44" ht="15.75" customHeight="1" thickBot="1" x14ac:dyDescent="0.3">
      <c r="B51" s="69" t="s">
        <v>245</v>
      </c>
      <c r="D51" s="125">
        <v>0.15</v>
      </c>
      <c r="E51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)*D51,0)</f>
        <v>13722</v>
      </c>
      <c r="F51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)*D51</f>
        <v>4299.0730147683344</v>
      </c>
      <c r="G51" s="105">
        <f>INDEX('Sites per Region'!$A:$Z, MATCH(B51,'Sites per Region'!$B:$B,0), MATCH(C$47,'Sites per Region'!$8:$8, 0))</f>
        <v>12</v>
      </c>
      <c r="H51" s="105">
        <f>_xlfn.LET(
_xlpm.data,'Base Stations Profiles'!$B:$E,
_xlpm.colSite,INDEX(_xlpm.data,,1),
_xlpm.colData,INDEX(_xlpm.data,,2),
_xlpm.rowRegion,MATCH(B51,_xlpm.colSite,0),
_xlpm.rowUser,MATCH("Maximum Simultaneously Active Users per Site",_xlfn.DROP(_xlpm.colSite,_xlpm.rowRegion),0),
INDEX(_xlpm.colData,_xlpm.rowRegion+_xlpm.rowUser))</f>
        <v>2500</v>
      </c>
      <c r="I51" s="124">
        <f>_xlfn.LET(
    _xlpm.data, 'Base Stations Profiles'!$B:$F,
    _xlpm.colSite, INDEX(_xlpm.data,,1),
    _xlpm.colauto, INDEX(_xlpm.data,,3),
    _xlpm.colData, INDEX(_xlpm.data,,2),
    _xlpm.rowRegion, MATCH(B51, _xlpm.colSite, 0),
    _xlpm.rowThroughput, MATCH("Maximum Throughput for Downlink per Site", _xlfn.DROP(_xlpm.colSite, _xlpm.rowRegion), 0),
    IF(INDEX(_xlpm.colauto, _xlpm.rowRegion + _xlpm.rowThroughput)='Model Configurator Sup'!$M$4,VLOOKUP(B51,'Base Stations Parameters'!$B:$E,4,0),INDEX(_xlpm.colData, _xlpm.rowRegion + _xlpm.rowThroughput))
)</f>
        <v>17000</v>
      </c>
      <c r="J51" s="106">
        <f ca="1">IF($G51&lt;=0,0,E51/(H51*$G51))</f>
        <v>0.45739999999999997</v>
      </c>
      <c r="K51" s="106">
        <f ca="1">IF($G51&lt;=0,0,F51/(I51*$G51))</f>
        <v>2.1073887327295756E-2</v>
      </c>
      <c r="L51" s="130">
        <f>VLOOKUP(B51,'Base Stations Parameters'!$B:$D,3,0)</f>
        <v>175000</v>
      </c>
      <c r="M51">
        <f ca="1">ROUNDUP(MAX(E51/H51-G51,F51/I51-G51,0),0)</f>
        <v>0</v>
      </c>
      <c r="N51" s="130">
        <f ca="1">M51*L51</f>
        <v>0</v>
      </c>
      <c r="Q51" s="69" t="s">
        <v>245</v>
      </c>
      <c r="S51" s="125">
        <v>0.15</v>
      </c>
      <c r="T51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)*S51,0)</f>
        <v>16472</v>
      </c>
      <c r="U51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)*S51</f>
        <v>4728.1781065323275</v>
      </c>
      <c r="V51" s="105">
        <f>INDEX('Sites per Region'!$A:$AO, MATCH(Q51,'Sites per Region'!$B:$B,0), MATCH(R$47,'Sites per Region'!$8:$8, 0))</f>
        <v>12</v>
      </c>
      <c r="W51" s="105">
        <f>_xlfn.LET(
_xlpm.data,'Base Stations Profiles'!$B:$T,
_xlpm.colSite,INDEX(_xlpm.data,,1),
_xlpm.colData,INDEX(_xlpm.data,,2),
_xlpm.rowRegion,MATCH(Q51,_xlpm.colSite,0),
_xlpm.rowUser,MATCH("Maximum Simultaneously Active Users per Site",_xlfn.DROP(_xlpm.colSite,_xlpm.rowRegion),0),
INDEX(_xlpm.colData,_xlpm.rowRegion+_xlpm.rowUser))</f>
        <v>2500</v>
      </c>
      <c r="X51" s="124">
        <f>_xlfn.LET(
    _xlpm.data, 'Base Stations Profiles'!$B:$U,
    _xlpm.colSite, INDEX(_xlpm.data,,1),
    _xlpm.colauto, INDEX(_xlpm.data,,3),
    _xlpm.colData, INDEX(_xlpm.data,,2),
    _xlpm.rowRegion, MATCH(Q51, _xlpm.colSite, 0),
    _xlpm.rowThroughput, MATCH("Maximum Throughput for Downlink per Site", _xlfn.DROP(_xlpm.colSite, _xlpm.rowRegion), 0),
    IF(INDEX(_xlpm.colauto, _xlpm.rowRegion + _xlpm.rowThroughput)='Model Configurator Sup'!$M$4,VLOOKUP(Q51,'Base Stations Parameters'!$B:$T,4,0),INDEX(_xlpm.colData, _xlpm.rowRegion + _xlpm.rowThroughput))
)</f>
        <v>17000</v>
      </c>
      <c r="Y51" s="106">
        <f ca="1">IF($V51&lt;=0,0,T51/(W51*$V51))</f>
        <v>0.5490666666666667</v>
      </c>
      <c r="Z51" s="106">
        <f ca="1">IF($V51&lt;=0,0,U51/(X51*$V51))</f>
        <v>2.3177343659472195E-2</v>
      </c>
      <c r="AA51" s="130">
        <f>VLOOKUP(Q51,'Base Stations Parameters'!$B:$S,3,0)</f>
        <v>175000</v>
      </c>
      <c r="AB51">
        <f ca="1">ROUNDUP(MAX(T51/W51-V51,U51/X51-V51,0),0)</f>
        <v>0</v>
      </c>
      <c r="AC51" s="130">
        <f ca="1">AB51*AA51</f>
        <v>0</v>
      </c>
      <c r="AF51" s="69" t="s">
        <v>245</v>
      </c>
      <c r="AH51" s="125">
        <v>0.15</v>
      </c>
      <c r="AI51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)*AH51,0)</f>
        <v>27823</v>
      </c>
      <c r="AJ51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)*AH51</f>
        <v>6348.0128356665437</v>
      </c>
      <c r="AK51" s="105">
        <f>INDEX('Sites per Region'!$A:$BD, MATCH(AF51,'Sites per Region'!$B:$B,0), MATCH(AG$47,'Sites per Region'!$8:$8, 0))</f>
        <v>12</v>
      </c>
      <c r="AL51" s="105">
        <f>_xlfn.LET(
_xlpm.data,'Base Stations Profiles'!$B:$AI,
_xlpm.colSite,INDEX(_xlpm.data,,1),
_xlpm.colData,INDEX(_xlpm.data,,2),
_xlpm.rowRegion,MATCH(AF51,_xlpm.colSite,0),
_xlpm.rowUser,MATCH("Maximum Simultaneously Active Users per Site",_xlfn.DROP(_xlpm.colSite,_xlpm.rowRegion),0),
INDEX(_xlpm.colData,_xlpm.rowRegion+_xlpm.rowUser))</f>
        <v>2500</v>
      </c>
      <c r="AM51" s="124">
        <f>_xlfn.LET(
    _xlpm.data, 'Base Stations Profiles'!$B:$AJ,
    _xlpm.colSite, INDEX(_xlpm.data,,1),
    _xlpm.colauto, INDEX(_xlpm.data,,3),
    _xlpm.colData, INDEX(_xlpm.data,,2),
    _xlpm.rowRegion, MATCH(AF51, _xlpm.colSite, 0),
    _xlpm.rowThroughput, MATCH("Maximum Throughput for Downlink per Site", _xlfn.DROP(_xlpm.colSite, _xlpm.rowRegion), 0),
    IF(INDEX(_xlpm.colauto, _xlpm.rowRegion + _xlpm.rowThroughput)='Model Configurator Sup'!$M$4,VLOOKUP(AF51,'Base Stations Parameters'!$B:$AI,4,0),INDEX(_xlpm.colData, _xlpm.rowRegion + _xlpm.rowThroughput))
)</f>
        <v>17000</v>
      </c>
      <c r="AN51" s="106">
        <f ca="1">IF($AK51&lt;=0,0,AI51/(AL51*$AK51))</f>
        <v>0.92743333333333333</v>
      </c>
      <c r="AO51" s="106">
        <f ca="1">IF($AK51&lt;=0,0,AJ51/(AM51*$AK51))</f>
        <v>3.1117709978757568E-2</v>
      </c>
      <c r="AP51" s="130">
        <f>VLOOKUP(AF51,'Base Stations Parameters'!$B:$AH,3,0)</f>
        <v>175000</v>
      </c>
      <c r="AQ51">
        <f ca="1">ROUNDUP(MAX(AI51/AL51-AK51,AJ51/AM51-AK51,0),0)</f>
        <v>0</v>
      </c>
      <c r="AR51" s="130">
        <f ca="1">AQ51*AP51</f>
        <v>0</v>
      </c>
    </row>
    <row r="52" spans="2:44" ht="15.75" customHeight="1" thickBot="1" x14ac:dyDescent="0.3">
      <c r="B52" s="69" t="s">
        <v>169</v>
      </c>
      <c r="D52" s="125">
        <v>0.15</v>
      </c>
      <c r="E52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)*D52,0)</f>
        <v>13722</v>
      </c>
      <c r="F52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)*D52</f>
        <v>4299.0730147683344</v>
      </c>
      <c r="G52" s="105">
        <f>INDEX('Sites per Region'!$A:$Z, MATCH(B52,'Sites per Region'!$B:$B,0), MATCH(C$47,'Sites per Region'!$8:$8, 0))</f>
        <v>12</v>
      </c>
      <c r="H52" s="105">
        <f>_xlfn.LET(
_xlpm.data,'Base Stations Profiles'!$B:$E,
_xlpm.colSite,INDEX(_xlpm.data,,1),
_xlpm.colData,INDEX(_xlpm.data,,2),
_xlpm.rowRegion,MATCH(B52,_xlpm.colSite,0),
_xlpm.rowUser,MATCH("Maximum Simultaneously Active Users per Site",_xlfn.DROP(_xlpm.colSite,_xlpm.rowRegion),0),
INDEX(_xlpm.colData,_xlpm.rowRegion+_xlpm.rowUser))</f>
        <v>2500</v>
      </c>
      <c r="I52" s="124">
        <f>_xlfn.LET(
    _xlpm.data, 'Base Stations Profiles'!$B:$F,
    _xlpm.colSite, INDEX(_xlpm.data,,1),
    _xlpm.colauto, INDEX(_xlpm.data,,3),
    _xlpm.colData, INDEX(_xlpm.data,,2),
    _xlpm.rowRegion, MATCH(B52, _xlpm.colSite, 0),
    _xlpm.rowThroughput, MATCH("Maximum Throughput for Downlink per Site", _xlfn.DROP(_xlpm.colSite, _xlpm.rowRegion), 0),
    IF(INDEX(_xlpm.colauto, _xlpm.rowRegion + _xlpm.rowThroughput)='Model Configurator Sup'!$M$4,VLOOKUP(B52,'Base Stations Parameters'!$B:$E,4,0),INDEX(_xlpm.colData, _xlpm.rowRegion + _xlpm.rowThroughput))
)</f>
        <v>17000</v>
      </c>
      <c r="J52" s="106">
        <f ca="1">IF($G52&lt;=0,0,E52/(H52*$G52))</f>
        <v>0.45739999999999997</v>
      </c>
      <c r="K52" s="106">
        <f ca="1">IF($G52&lt;=0,0,F52/(I52*$G52))</f>
        <v>2.1073887327295756E-2</v>
      </c>
      <c r="L52" s="130">
        <f>VLOOKUP(B52,'Base Stations Parameters'!$B:$D,3,0)</f>
        <v>145000</v>
      </c>
      <c r="M52">
        <f ca="1">ROUNDUP(MAX(E52/H52-G52,F52/I52-G52,0),0)</f>
        <v>0</v>
      </c>
      <c r="N52" s="130">
        <f ca="1">M52*L52</f>
        <v>0</v>
      </c>
      <c r="Q52" s="69" t="s">
        <v>169</v>
      </c>
      <c r="S52" s="125">
        <v>0.15</v>
      </c>
      <c r="T52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)*S52,0)</f>
        <v>16472</v>
      </c>
      <c r="U52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)*S52</f>
        <v>4728.1781065323275</v>
      </c>
      <c r="V52" s="105">
        <f>INDEX('Sites per Region'!$A:$AO, MATCH(Q52,'Sites per Region'!$B:$B,0), MATCH(R$47,'Sites per Region'!$8:$8, 0))</f>
        <v>12</v>
      </c>
      <c r="W52" s="105">
        <f>_xlfn.LET(
_xlpm.data,'Base Stations Profiles'!$B:$T,
_xlpm.colSite,INDEX(_xlpm.data,,1),
_xlpm.colData,INDEX(_xlpm.data,,2),
_xlpm.rowRegion,MATCH(Q52,_xlpm.colSite,0),
_xlpm.rowUser,MATCH("Maximum Simultaneously Active Users per Site",_xlfn.DROP(_xlpm.colSite,_xlpm.rowRegion),0),
INDEX(_xlpm.colData,_xlpm.rowRegion+_xlpm.rowUser))</f>
        <v>2500</v>
      </c>
      <c r="X52" s="124">
        <f>_xlfn.LET(
    _xlpm.data, 'Base Stations Profiles'!$B:$U,
    _xlpm.colSite, INDEX(_xlpm.data,,1),
    _xlpm.colauto, INDEX(_xlpm.data,,3),
    _xlpm.colData, INDEX(_xlpm.data,,2),
    _xlpm.rowRegion, MATCH(Q52, _xlpm.colSite, 0),
    _xlpm.rowThroughput, MATCH("Maximum Throughput for Downlink per Site", _xlfn.DROP(_xlpm.colSite, _xlpm.rowRegion), 0),
    IF(INDEX(_xlpm.colauto, _xlpm.rowRegion + _xlpm.rowThroughput)='Model Configurator Sup'!$M$4,VLOOKUP(Q52,'Base Stations Parameters'!$B:$T,4,0),INDEX(_xlpm.colData, _xlpm.rowRegion + _xlpm.rowThroughput))
)</f>
        <v>17000</v>
      </c>
      <c r="Y52" s="106">
        <f ca="1">IF($V52&lt;=0,0,T52/(W52*$V52))</f>
        <v>0.5490666666666667</v>
      </c>
      <c r="Z52" s="106">
        <f ca="1">IF($V52&lt;=0,0,U52/(X52*$V52))</f>
        <v>2.3177343659472195E-2</v>
      </c>
      <c r="AA52" s="130">
        <f>VLOOKUP(Q52,'Base Stations Parameters'!$B:$S,3,0)</f>
        <v>145000</v>
      </c>
      <c r="AB52">
        <f ca="1">ROUNDUP(MAX(T52/W52-V52,U52/X52-V52,0),0)</f>
        <v>0</v>
      </c>
      <c r="AC52" s="130">
        <f ca="1">AB52*AA52</f>
        <v>0</v>
      </c>
      <c r="AF52" s="69" t="s">
        <v>169</v>
      </c>
      <c r="AH52" s="125">
        <v>0.15</v>
      </c>
      <c r="AI52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)*AH52,0)</f>
        <v>27823</v>
      </c>
      <c r="AJ52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)*AH52</f>
        <v>6348.0128356665437</v>
      </c>
      <c r="AK52" s="105">
        <f>INDEX('Sites per Region'!$A:$BD, MATCH(AF52,'Sites per Region'!$B:$B,0), MATCH(AG$47,'Sites per Region'!$8:$8, 0))</f>
        <v>12</v>
      </c>
      <c r="AL52" s="105">
        <f>_xlfn.LET(
_xlpm.data,'Base Stations Profiles'!$B:$AI,
_xlpm.colSite,INDEX(_xlpm.data,,1),
_xlpm.colData,INDEX(_xlpm.data,,2),
_xlpm.rowRegion,MATCH(AF52,_xlpm.colSite,0),
_xlpm.rowUser,MATCH("Maximum Simultaneously Active Users per Site",_xlfn.DROP(_xlpm.colSite,_xlpm.rowRegion),0),
INDEX(_xlpm.colData,_xlpm.rowRegion+_xlpm.rowUser))</f>
        <v>2500</v>
      </c>
      <c r="AM52" s="124">
        <f>_xlfn.LET(
    _xlpm.data, 'Base Stations Profiles'!$B:$AJ,
    _xlpm.colSite, INDEX(_xlpm.data,,1),
    _xlpm.colauto, INDEX(_xlpm.data,,3),
    _xlpm.colData, INDEX(_xlpm.data,,2),
    _xlpm.rowRegion, MATCH(AF52, _xlpm.colSite, 0),
    _xlpm.rowThroughput, MATCH("Maximum Throughput for Downlink per Site", _xlfn.DROP(_xlpm.colSite, _xlpm.rowRegion), 0),
    IF(INDEX(_xlpm.colauto, _xlpm.rowRegion + _xlpm.rowThroughput)='Model Configurator Sup'!$M$4,VLOOKUP(AF52,'Base Stations Parameters'!$B:$AI,4,0),INDEX(_xlpm.colData, _xlpm.rowRegion + _xlpm.rowThroughput))
)</f>
        <v>17000</v>
      </c>
      <c r="AN52" s="106">
        <f ca="1">IF($AK52&lt;=0,0,AI52/(AL52*$AK52))</f>
        <v>0.92743333333333333</v>
      </c>
      <c r="AO52" s="106">
        <f ca="1">IF($AK52&lt;=0,0,AJ52/(AM52*$AK52))</f>
        <v>3.1117709978757568E-2</v>
      </c>
      <c r="AP52" s="130">
        <f>VLOOKUP(AF52,'Base Stations Parameters'!$B:$AH,3,0)</f>
        <v>145000</v>
      </c>
      <c r="AQ52">
        <f ca="1">ROUNDUP(MAX(AI52/AL52-AK52,AJ52/AM52-AK52,0),0)</f>
        <v>0</v>
      </c>
      <c r="AR52" s="130">
        <f ca="1">AQ52*AP52</f>
        <v>0</v>
      </c>
    </row>
    <row r="53" spans="2:44" ht="15.75" customHeight="1" thickBot="1" x14ac:dyDescent="0.3">
      <c r="B53" s="69" t="s">
        <v>246</v>
      </c>
      <c r="D53" s="125">
        <v>0.15</v>
      </c>
      <c r="E53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)*D53,0)</f>
        <v>13722</v>
      </c>
      <c r="F53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)*D53</f>
        <v>4299.0730147683344</v>
      </c>
      <c r="G53" s="105">
        <f>INDEX('Sites per Region'!$A:$Z, MATCH(B53,'Sites per Region'!$B:$B,0), MATCH(C$47,'Sites per Region'!$8:$8, 0))</f>
        <v>15</v>
      </c>
      <c r="H53" s="105">
        <f>_xlfn.LET(
_xlpm.data,'Base Stations Profiles'!$B:$E,
_xlpm.colSite,INDEX(_xlpm.data,,1),
_xlpm.colData,INDEX(_xlpm.data,,2),
_xlpm.rowRegion,MATCH(B53,_xlpm.colSite,0),
_xlpm.rowUser,MATCH("Maximum Simultaneously Active Users per Site",_xlfn.DROP(_xlpm.colSite,_xlpm.rowRegion),0),
INDEX(_xlpm.colData,_xlpm.rowRegion+_xlpm.rowUser))</f>
        <v>1500</v>
      </c>
      <c r="I53" s="124">
        <f>_xlfn.LET(
    _xlpm.data, 'Base Stations Profiles'!$B:$F,
    _xlpm.colSite, INDEX(_xlpm.data,,1),
    _xlpm.colauto, INDEX(_xlpm.data,,3),
    _xlpm.colData, INDEX(_xlpm.data,,2),
    _xlpm.rowRegion, MATCH(B53, _xlpm.colSite, 0),
    _xlpm.rowThroughput, MATCH("Maximum Throughput for Downlink per Site", _xlfn.DROP(_xlpm.colSite, _xlpm.rowRegion), 0),
    IF(INDEX(_xlpm.colauto, _xlpm.rowRegion + _xlpm.rowThroughput)='Model Configurator Sup'!$M$4,VLOOKUP(B53,'Base Stations Parameters'!$B:$E,4,0),INDEX(_xlpm.colData, _xlpm.rowRegion + _xlpm.rowThroughput))
)</f>
        <v>12000</v>
      </c>
      <c r="J53" s="106">
        <f ca="1">IF($G53&lt;=0,0,E53/(H53*$G53))</f>
        <v>0.60986666666666667</v>
      </c>
      <c r="K53" s="106">
        <f ca="1">IF($G53&lt;=0,0,F53/(I53*$G53))</f>
        <v>2.3883738970935191E-2</v>
      </c>
      <c r="L53" s="130">
        <f>VLOOKUP(B53,'Base Stations Parameters'!$B:$D,3,0)</f>
        <v>145000</v>
      </c>
      <c r="M53">
        <f ca="1">ROUNDUP(MAX(E53/H53-G53,F53/I53-G53,0),0)</f>
        <v>0</v>
      </c>
      <c r="N53" s="130">
        <f ca="1">M53*L53</f>
        <v>0</v>
      </c>
      <c r="Q53" s="69" t="s">
        <v>246</v>
      </c>
      <c r="S53" s="125">
        <v>0.15</v>
      </c>
      <c r="T53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)*S53,0)</f>
        <v>16472</v>
      </c>
      <c r="U53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)*S53</f>
        <v>4728.1781065323275</v>
      </c>
      <c r="V53" s="105">
        <f>INDEX('Sites per Region'!$A:$AO, MATCH(Q53,'Sites per Region'!$B:$B,0), MATCH(R$47,'Sites per Region'!$8:$8, 0))</f>
        <v>15</v>
      </c>
      <c r="W53" s="105">
        <f>_xlfn.LET(
_xlpm.data,'Base Stations Profiles'!$B:$T,
_xlpm.colSite,INDEX(_xlpm.data,,1),
_xlpm.colData,INDEX(_xlpm.data,,2),
_xlpm.rowRegion,MATCH(Q53,_xlpm.colSite,0),
_xlpm.rowUser,MATCH("Maximum Simultaneously Active Users per Site",_xlfn.DROP(_xlpm.colSite,_xlpm.rowRegion),0),
INDEX(_xlpm.colData,_xlpm.rowRegion+_xlpm.rowUser))</f>
        <v>1500</v>
      </c>
      <c r="X53" s="124">
        <f>_xlfn.LET(
    _xlpm.data, 'Base Stations Profiles'!$B:$U,
    _xlpm.colSite, INDEX(_xlpm.data,,1),
    _xlpm.colauto, INDEX(_xlpm.data,,3),
    _xlpm.colData, INDEX(_xlpm.data,,2),
    _xlpm.rowRegion, MATCH(Q53, _xlpm.colSite, 0),
    _xlpm.rowThroughput, MATCH("Maximum Throughput for Downlink per Site", _xlfn.DROP(_xlpm.colSite, _xlpm.rowRegion), 0),
    IF(INDEX(_xlpm.colauto, _xlpm.rowRegion + _xlpm.rowThroughput)='Model Configurator Sup'!$M$4,VLOOKUP(Q53,'Base Stations Parameters'!$B:$T,4,0),INDEX(_xlpm.colData, _xlpm.rowRegion + _xlpm.rowThroughput))
)</f>
        <v>12000</v>
      </c>
      <c r="Y53" s="106">
        <f ca="1">IF($V53&lt;=0,0,T53/(W53*$V53))</f>
        <v>0.7320888888888889</v>
      </c>
      <c r="Z53" s="106">
        <f ca="1">IF($V53&lt;=0,0,U53/(X53*$V53))</f>
        <v>2.626765614740182E-2</v>
      </c>
      <c r="AA53" s="130">
        <f>VLOOKUP(Q53,'Base Stations Parameters'!$B:$S,3,0)</f>
        <v>145000</v>
      </c>
      <c r="AB53">
        <f ca="1">ROUNDUP(MAX(T53/W53-V53,U53/X53-V53,0),0)</f>
        <v>0</v>
      </c>
      <c r="AC53" s="130">
        <f ca="1">AB53*AA53</f>
        <v>0</v>
      </c>
      <c r="AF53" s="69" t="s">
        <v>246</v>
      </c>
      <c r="AH53" s="125">
        <v>0.15</v>
      </c>
      <c r="AI53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)*AH53,0)</f>
        <v>27823</v>
      </c>
      <c r="AJ53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)*AH53</f>
        <v>6348.0128356665437</v>
      </c>
      <c r="AK53" s="105">
        <f>INDEX('Sites per Region'!$A:$BD, MATCH(AF53,'Sites per Region'!$B:$B,0), MATCH(AG$47,'Sites per Region'!$8:$8, 0))</f>
        <v>15</v>
      </c>
      <c r="AL53" s="105">
        <f>_xlfn.LET(
_xlpm.data,'Base Stations Profiles'!$B:$AI,
_xlpm.colSite,INDEX(_xlpm.data,,1),
_xlpm.colData,INDEX(_xlpm.data,,2),
_xlpm.rowRegion,MATCH(AF53,_xlpm.colSite,0),
_xlpm.rowUser,MATCH("Maximum Simultaneously Active Users per Site",_xlfn.DROP(_xlpm.colSite,_xlpm.rowRegion),0),
INDEX(_xlpm.colData,_xlpm.rowRegion+_xlpm.rowUser))</f>
        <v>1500</v>
      </c>
      <c r="AM53" s="124">
        <f>_xlfn.LET(
    _xlpm.data, 'Base Stations Profiles'!$B:$AJ,
    _xlpm.colSite, INDEX(_xlpm.data,,1),
    _xlpm.colauto, INDEX(_xlpm.data,,3),
    _xlpm.colData, INDEX(_xlpm.data,,2),
    _xlpm.rowRegion, MATCH(AF53, _xlpm.colSite, 0),
    _xlpm.rowThroughput, MATCH("Maximum Throughput for Downlink per Site", _xlfn.DROP(_xlpm.colSite, _xlpm.rowRegion), 0),
    IF(INDEX(_xlpm.colauto, _xlpm.rowRegion + _xlpm.rowThroughput)='Model Configurator Sup'!$M$4,VLOOKUP(AF53,'Base Stations Parameters'!$B:$AI,4,0),INDEX(_xlpm.colData, _xlpm.rowRegion + _xlpm.rowThroughput))
)</f>
        <v>12000</v>
      </c>
      <c r="AN53" s="106">
        <f ca="1">IF($AK53&lt;=0,0,AI53/(AL53*$AK53))</f>
        <v>1.2365777777777778</v>
      </c>
      <c r="AO53" s="106">
        <f ca="1">IF($AK53&lt;=0,0,AJ53/(AM53*$AK53))</f>
        <v>3.5266737975925243E-2</v>
      </c>
      <c r="AP53" s="130">
        <f>VLOOKUP(AF53,'Base Stations Parameters'!$B:$AH,3,0)</f>
        <v>145000</v>
      </c>
      <c r="AQ53">
        <f ca="1">ROUNDUP(MAX(AI53/AL53-AK53,AJ53/AM53-AK53,0),0)</f>
        <v>4</v>
      </c>
      <c r="AR53" s="130">
        <f ca="1">AQ53*AP53</f>
        <v>580000</v>
      </c>
    </row>
    <row r="54" spans="2:44" ht="15.75" customHeight="1" thickBot="1" x14ac:dyDescent="0.3">
      <c r="B54" s="69" t="s">
        <v>170</v>
      </c>
      <c r="D54" s="125">
        <v>0.15</v>
      </c>
      <c r="E54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)*D54,0)</f>
        <v>13722</v>
      </c>
      <c r="F54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)*D54</f>
        <v>4299.0730147683344</v>
      </c>
      <c r="G54" s="105">
        <f>INDEX('Sites per Region'!$A:$Z, MATCH(B54,'Sites per Region'!$B:$B,0), MATCH(C$47,'Sites per Region'!$8:$8, 0))</f>
        <v>15</v>
      </c>
      <c r="H54" s="105">
        <f>_xlfn.LET(
_xlpm.data,'Base Stations Profiles'!$B:$E,
_xlpm.colSite,INDEX(_xlpm.data,,1),
_xlpm.colData,INDEX(_xlpm.data,,2),
_xlpm.rowRegion,MATCH(B54,_xlpm.colSite,0),
_xlpm.rowUser,MATCH("Maximum Simultaneously Active Users per Site",_xlfn.DROP(_xlpm.colSite,_xlpm.rowRegion),0),
INDEX(_xlpm.colData,_xlpm.rowRegion+_xlpm.rowUser))</f>
        <v>1500</v>
      </c>
      <c r="I54" s="124">
        <f>_xlfn.LET(
    _xlpm.data, 'Base Stations Profiles'!$B:$F,
    _xlpm.colSite, INDEX(_xlpm.data,,1),
    _xlpm.colauto, INDEX(_xlpm.data,,3),
    _xlpm.colData, INDEX(_xlpm.data,,2),
    _xlpm.rowRegion, MATCH(B54, _xlpm.colSite, 0),
    _xlpm.rowThroughput, MATCH("Maximum Throughput for Downlink per Site", _xlfn.DROP(_xlpm.colSite, _xlpm.rowRegion), 0),
    IF(INDEX(_xlpm.colauto, _xlpm.rowRegion + _xlpm.rowThroughput)='Model Configurator Sup'!$M$4,VLOOKUP(B54,'Base Stations Parameters'!$B:$E,4,0),INDEX(_xlpm.colData, _xlpm.rowRegion + _xlpm.rowThroughput))
)</f>
        <v>12000</v>
      </c>
      <c r="J54" s="106">
        <f ca="1">IF($G54&lt;=0,0,E54/(H54*$G54))</f>
        <v>0.60986666666666667</v>
      </c>
      <c r="K54" s="106">
        <f ca="1">IF($G54&lt;=0,0,F54/(I54*$G54))</f>
        <v>2.3883738970935191E-2</v>
      </c>
      <c r="L54" s="130">
        <f>VLOOKUP(B54,'Base Stations Parameters'!$B:$D,3,0)</f>
        <v>100000</v>
      </c>
      <c r="M54">
        <f ca="1">ROUNDUP(MAX(E54/H54-G54,F54/I54-G54,0),0)</f>
        <v>0</v>
      </c>
      <c r="N54" s="130">
        <f ca="1">M54*L54</f>
        <v>0</v>
      </c>
      <c r="Q54" s="69" t="s">
        <v>170</v>
      </c>
      <c r="S54" s="125">
        <v>0.15</v>
      </c>
      <c r="T54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)*S54,0)</f>
        <v>16472</v>
      </c>
      <c r="U54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)*S54</f>
        <v>4728.1781065323275</v>
      </c>
      <c r="V54" s="105">
        <f>INDEX('Sites per Region'!$A:$AO, MATCH(Q54,'Sites per Region'!$B:$B,0), MATCH(R$47,'Sites per Region'!$8:$8, 0))</f>
        <v>15</v>
      </c>
      <c r="W54" s="105">
        <f>_xlfn.LET(
_xlpm.data,'Base Stations Profiles'!$B:$T,
_xlpm.colSite,INDEX(_xlpm.data,,1),
_xlpm.colData,INDEX(_xlpm.data,,2),
_xlpm.rowRegion,MATCH(Q54,_xlpm.colSite,0),
_xlpm.rowUser,MATCH("Maximum Simultaneously Active Users per Site",_xlfn.DROP(_xlpm.colSite,_xlpm.rowRegion),0),
INDEX(_xlpm.colData,_xlpm.rowRegion+_xlpm.rowUser))</f>
        <v>1500</v>
      </c>
      <c r="X54" s="124">
        <f>_xlfn.LET(
    _xlpm.data, 'Base Stations Profiles'!$B:$U,
    _xlpm.colSite, INDEX(_xlpm.data,,1),
    _xlpm.colauto, INDEX(_xlpm.data,,3),
    _xlpm.colData, INDEX(_xlpm.data,,2),
    _xlpm.rowRegion, MATCH(Q54, _xlpm.colSite, 0),
    _xlpm.rowThroughput, MATCH("Maximum Throughput for Downlink per Site", _xlfn.DROP(_xlpm.colSite, _xlpm.rowRegion), 0),
    IF(INDEX(_xlpm.colauto, _xlpm.rowRegion + _xlpm.rowThroughput)='Model Configurator Sup'!$M$4,VLOOKUP(Q54,'Base Stations Parameters'!$B:$T,4,0),INDEX(_xlpm.colData, _xlpm.rowRegion + _xlpm.rowThroughput))
)</f>
        <v>12000</v>
      </c>
      <c r="Y54" s="106">
        <f ca="1">IF($V54&lt;=0,0,T54/(W54*$V54))</f>
        <v>0.7320888888888889</v>
      </c>
      <c r="Z54" s="106">
        <f ca="1">IF($V54&lt;=0,0,U54/(X54*$V54))</f>
        <v>2.626765614740182E-2</v>
      </c>
      <c r="AA54" s="130">
        <f>VLOOKUP(Q54,'Base Stations Parameters'!$B:$S,3,0)</f>
        <v>100000</v>
      </c>
      <c r="AB54">
        <f ca="1">ROUNDUP(MAX(T54/W54-V54,U54/X54-V54,0),0)</f>
        <v>0</v>
      </c>
      <c r="AC54" s="130">
        <f ca="1">AB54*AA54</f>
        <v>0</v>
      </c>
      <c r="AF54" s="69" t="s">
        <v>170</v>
      </c>
      <c r="AH54" s="125">
        <v>0.15</v>
      </c>
      <c r="AI54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)*AH54,0)</f>
        <v>27823</v>
      </c>
      <c r="AJ54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)*AH54</f>
        <v>6348.0128356665437</v>
      </c>
      <c r="AK54" s="105">
        <f>INDEX('Sites per Region'!$A:$BD, MATCH(AF54,'Sites per Region'!$B:$B,0), MATCH(AG$47,'Sites per Region'!$8:$8, 0))</f>
        <v>15</v>
      </c>
      <c r="AL54" s="105">
        <f>_xlfn.LET(
_xlpm.data,'Base Stations Profiles'!$B:$AI,
_xlpm.colSite,INDEX(_xlpm.data,,1),
_xlpm.colData,INDEX(_xlpm.data,,2),
_xlpm.rowRegion,MATCH(AF54,_xlpm.colSite,0),
_xlpm.rowUser,MATCH("Maximum Simultaneously Active Users per Site",_xlfn.DROP(_xlpm.colSite,_xlpm.rowRegion),0),
INDEX(_xlpm.colData,_xlpm.rowRegion+_xlpm.rowUser))</f>
        <v>1500</v>
      </c>
      <c r="AM54" s="124">
        <f>_xlfn.LET(
    _xlpm.data, 'Base Stations Profiles'!$B:$AJ,
    _xlpm.colSite, INDEX(_xlpm.data,,1),
    _xlpm.colauto, INDEX(_xlpm.data,,3),
    _xlpm.colData, INDEX(_xlpm.data,,2),
    _xlpm.rowRegion, MATCH(AF54, _xlpm.colSite, 0),
    _xlpm.rowThroughput, MATCH("Maximum Throughput for Downlink per Site", _xlfn.DROP(_xlpm.colSite, _xlpm.rowRegion), 0),
    IF(INDEX(_xlpm.colauto, _xlpm.rowRegion + _xlpm.rowThroughput)='Model Configurator Sup'!$M$4,VLOOKUP(AF54,'Base Stations Parameters'!$B:$AI,4,0),INDEX(_xlpm.colData, _xlpm.rowRegion + _xlpm.rowThroughput))
)</f>
        <v>12000</v>
      </c>
      <c r="AN54" s="106">
        <f ca="1">IF($AK54&lt;=0,0,AI54/(AL54*$AK54))</f>
        <v>1.2365777777777778</v>
      </c>
      <c r="AO54" s="106">
        <f ca="1">IF($AK54&lt;=0,0,AJ54/(AM54*$AK54))</f>
        <v>3.5266737975925243E-2</v>
      </c>
      <c r="AP54" s="130">
        <f>VLOOKUP(AF54,'Base Stations Parameters'!$B:$AH,3,0)</f>
        <v>100000</v>
      </c>
      <c r="AQ54">
        <f ca="1">ROUNDUP(MAX(AI54/AL54-AK54,AJ54/AM54-AK54,0),0)</f>
        <v>4</v>
      </c>
      <c r="AR54" s="130">
        <f ca="1">AQ54*AP54</f>
        <v>400000</v>
      </c>
    </row>
    <row r="55" spans="2:44" ht="15.75" customHeight="1" thickBot="1" x14ac:dyDescent="0.3">
      <c r="B55" s="69" t="s">
        <v>247</v>
      </c>
      <c r="D55" s="125">
        <v>7.4999999999999997E-2</v>
      </c>
      <c r="E55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)*D55,0)</f>
        <v>6861</v>
      </c>
      <c r="F55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)*D55</f>
        <v>2149.5365073841672</v>
      </c>
      <c r="G55" s="105">
        <f>INDEX('Sites per Region'!$A:$Z, MATCH(B55,'Sites per Region'!$B:$B,0), MATCH(C$47,'Sites per Region'!$8:$8, 0))</f>
        <v>12</v>
      </c>
      <c r="H55" s="105">
        <f>_xlfn.LET(
_xlpm.data,'Base Stations Profiles'!$B:$E,
_xlpm.colSite,INDEX(_xlpm.data,,1),
_xlpm.colData,INDEX(_xlpm.data,,2),
_xlpm.rowRegion,MATCH(B55,_xlpm.colSite,0),
_xlpm.rowUser,MATCH("Maximum Simultaneously Active Users per Site",_xlfn.DROP(_xlpm.colSite,_xlpm.rowRegion),0),
INDEX(_xlpm.colData,_xlpm.rowRegion+_xlpm.rowUser))</f>
        <v>750</v>
      </c>
      <c r="I55" s="124">
        <f>_xlfn.LET(
    _xlpm.data, 'Base Stations Profiles'!$B:$F,
    _xlpm.colSite, INDEX(_xlpm.data,,1),
    _xlpm.colauto, INDEX(_xlpm.data,,3),
    _xlpm.colData, INDEX(_xlpm.data,,2),
    _xlpm.rowRegion, MATCH(B55, _xlpm.colSite, 0),
    _xlpm.rowThroughput, MATCH("Maximum Throughput for Downlink per Site", _xlfn.DROP(_xlpm.colSite, _xlpm.rowRegion), 0),
    IF(INDEX(_xlpm.colauto, _xlpm.rowRegion + _xlpm.rowThroughput)='Model Configurator Sup'!$M$4,VLOOKUP(B55,'Base Stations Parameters'!$B:$E,4,0),INDEX(_xlpm.colData, _xlpm.rowRegion + _xlpm.rowThroughput))
)</f>
        <v>5000</v>
      </c>
      <c r="J55" s="106">
        <f ca="1">IF($G55&lt;=0,0,E55/(H55*$G55))</f>
        <v>0.76233333333333331</v>
      </c>
      <c r="K55" s="106">
        <f ca="1">IF($G55&lt;=0,0,F55/(I55*$G55))</f>
        <v>3.5825608456402785E-2</v>
      </c>
      <c r="L55" s="130">
        <f>VLOOKUP(B55,'Base Stations Parameters'!$B:$D,3,0)</f>
        <v>100000</v>
      </c>
      <c r="M55">
        <f ca="1">ROUNDUP(MAX(E55/H55-G55,F55/I55-G55,0),0)</f>
        <v>0</v>
      </c>
      <c r="N55" s="130">
        <f ca="1">M55*L55</f>
        <v>0</v>
      </c>
      <c r="Q55" s="69" t="s">
        <v>247</v>
      </c>
      <c r="S55" s="125">
        <v>7.4999999999999997E-2</v>
      </c>
      <c r="T55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)*S55,0)</f>
        <v>8236</v>
      </c>
      <c r="U55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)*S55</f>
        <v>2364.0890532661638</v>
      </c>
      <c r="V55" s="105">
        <f>INDEX('Sites per Region'!$A:$AO, MATCH(Q55,'Sites per Region'!$B:$B,0), MATCH(R$47,'Sites per Region'!$8:$8, 0))</f>
        <v>12</v>
      </c>
      <c r="W55" s="105">
        <f>_xlfn.LET(
_xlpm.data,'Base Stations Profiles'!$B:$T,
_xlpm.colSite,INDEX(_xlpm.data,,1),
_xlpm.colData,INDEX(_xlpm.data,,2),
_xlpm.rowRegion,MATCH(Q55,_xlpm.colSite,0),
_xlpm.rowUser,MATCH("Maximum Simultaneously Active Users per Site",_xlfn.DROP(_xlpm.colSite,_xlpm.rowRegion),0),
INDEX(_xlpm.colData,_xlpm.rowRegion+_xlpm.rowUser))</f>
        <v>750</v>
      </c>
      <c r="X55" s="124">
        <f>_xlfn.LET(
    _xlpm.data, 'Base Stations Profiles'!$B:$U,
    _xlpm.colSite, INDEX(_xlpm.data,,1),
    _xlpm.colauto, INDEX(_xlpm.data,,3),
    _xlpm.colData, INDEX(_xlpm.data,,2),
    _xlpm.rowRegion, MATCH(Q55, _xlpm.colSite, 0),
    _xlpm.rowThroughput, MATCH("Maximum Throughput for Downlink per Site", _xlfn.DROP(_xlpm.colSite, _xlpm.rowRegion), 0),
    IF(INDEX(_xlpm.colauto, _xlpm.rowRegion + _xlpm.rowThroughput)='Model Configurator Sup'!$M$4,VLOOKUP(Q55,'Base Stations Parameters'!$B:$T,4,0),INDEX(_xlpm.colData, _xlpm.rowRegion + _xlpm.rowThroughput))
)</f>
        <v>5000</v>
      </c>
      <c r="Y55" s="106">
        <f ca="1">IF($V55&lt;=0,0,T55/(W55*$V55))</f>
        <v>0.9151111111111111</v>
      </c>
      <c r="Z55" s="106">
        <f ca="1">IF($V55&lt;=0,0,U55/(X55*$V55))</f>
        <v>3.9401484221102727E-2</v>
      </c>
      <c r="AA55" s="130">
        <f>VLOOKUP(Q55,'Base Stations Parameters'!$B:$S,3,0)</f>
        <v>100000</v>
      </c>
      <c r="AB55">
        <f ca="1">ROUNDUP(MAX(T55/W55-V55,U55/X55-V55,0),0)</f>
        <v>0</v>
      </c>
      <c r="AC55" s="130">
        <f ca="1">AB55*AA55</f>
        <v>0</v>
      </c>
      <c r="AF55" s="69" t="s">
        <v>247</v>
      </c>
      <c r="AH55" s="125">
        <v>7.4999999999999997E-2</v>
      </c>
      <c r="AI55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)*AH55,0)</f>
        <v>13911</v>
      </c>
      <c r="AJ55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)*AH55</f>
        <v>3174.0064178332718</v>
      </c>
      <c r="AK55" s="105">
        <f>INDEX('Sites per Region'!$A:$BD, MATCH(AF55,'Sites per Region'!$B:$B,0), MATCH(AG$47,'Sites per Region'!$8:$8, 0))</f>
        <v>12</v>
      </c>
      <c r="AL55" s="105">
        <f>_xlfn.LET(
_xlpm.data,'Base Stations Profiles'!$B:$AI,
_xlpm.colSite,INDEX(_xlpm.data,,1),
_xlpm.colData,INDEX(_xlpm.data,,2),
_xlpm.rowRegion,MATCH(AF55,_xlpm.colSite,0),
_xlpm.rowUser,MATCH("Maximum Simultaneously Active Users per Site",_xlfn.DROP(_xlpm.colSite,_xlpm.rowRegion),0),
INDEX(_xlpm.colData,_xlpm.rowRegion+_xlpm.rowUser))</f>
        <v>750</v>
      </c>
      <c r="AM55" s="124">
        <f>_xlfn.LET(
    _xlpm.data, 'Base Stations Profiles'!$B:$AJ,
    _xlpm.colSite, INDEX(_xlpm.data,,1),
    _xlpm.colauto, INDEX(_xlpm.data,,3),
    _xlpm.colData, INDEX(_xlpm.data,,2),
    _xlpm.rowRegion, MATCH(AF55, _xlpm.colSite, 0),
    _xlpm.rowThroughput, MATCH("Maximum Throughput for Downlink per Site", _xlfn.DROP(_xlpm.colSite, _xlpm.rowRegion), 0),
    IF(INDEX(_xlpm.colauto, _xlpm.rowRegion + _xlpm.rowThroughput)='Model Configurator Sup'!$M$4,VLOOKUP(AF55,'Base Stations Parameters'!$B:$AI,4,0),INDEX(_xlpm.colData, _xlpm.rowRegion + _xlpm.rowThroughput))
)</f>
        <v>5000</v>
      </c>
      <c r="AN55" s="106">
        <f ca="1">IF($AK55&lt;=0,0,AI55/(AL55*$AK55))</f>
        <v>1.5456666666666667</v>
      </c>
      <c r="AO55" s="106">
        <f ca="1">IF($AK55&lt;=0,0,AJ55/(AM55*$AK55))</f>
        <v>5.2900106963887861E-2</v>
      </c>
      <c r="AP55" s="130">
        <f>VLOOKUP(AF55,'Base Stations Parameters'!$B:$AH,3,0)</f>
        <v>100000</v>
      </c>
      <c r="AQ55">
        <f ca="1">ROUNDUP(MAX(AI55/AL55-AK55,AJ55/AM55-AK55,0),0)</f>
        <v>7</v>
      </c>
      <c r="AR55" s="130">
        <f ca="1">AQ55*AP55</f>
        <v>700000</v>
      </c>
    </row>
    <row r="56" spans="2:44" ht="15.75" customHeight="1" thickBot="1" x14ac:dyDescent="0.3">
      <c r="B56" s="69" t="s">
        <v>171</v>
      </c>
      <c r="D56" s="125">
        <v>7.4999999999999997E-2</v>
      </c>
      <c r="E56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)*D56,0)</f>
        <v>6861</v>
      </c>
      <c r="F56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)*D56</f>
        <v>2149.5365073841672</v>
      </c>
      <c r="G56" s="105">
        <f>INDEX('Sites per Region'!$A:$Z, MATCH(B56,'Sites per Region'!$B:$B,0), MATCH(C$47,'Sites per Region'!$8:$8, 0))</f>
        <v>12</v>
      </c>
      <c r="H56" s="105">
        <f>_xlfn.LET(
_xlpm.data,'Base Stations Profiles'!$B:$E,
_xlpm.colSite,INDEX(_xlpm.data,,1),
_xlpm.colData,INDEX(_xlpm.data,,2),
_xlpm.rowRegion,MATCH(B56,_xlpm.colSite,0),
_xlpm.rowUser,MATCH("Maximum Simultaneously Active Users per Site",_xlfn.DROP(_xlpm.colSite,_xlpm.rowRegion),0),
INDEX(_xlpm.colData,_xlpm.rowRegion+_xlpm.rowUser))</f>
        <v>750</v>
      </c>
      <c r="I56" s="124">
        <f>_xlfn.LET(
    _xlpm.data, 'Base Stations Profiles'!$B:$F,
    _xlpm.colSite, INDEX(_xlpm.data,,1),
    _xlpm.colauto, INDEX(_xlpm.data,,3),
    _xlpm.colData, INDEX(_xlpm.data,,2),
    _xlpm.rowRegion, MATCH(B56, _xlpm.colSite, 0),
    _xlpm.rowThroughput, MATCH("Maximum Throughput for Downlink per Site", _xlfn.DROP(_xlpm.colSite, _xlpm.rowRegion), 0),
    IF(INDEX(_xlpm.colauto, _xlpm.rowRegion + _xlpm.rowThroughput)='Model Configurator Sup'!$M$4,VLOOKUP(B56,'Base Stations Parameters'!$B:$E,4,0),INDEX(_xlpm.colData, _xlpm.rowRegion + _xlpm.rowThroughput))
)</f>
        <v>5000</v>
      </c>
      <c r="J56" s="106">
        <f ca="1">IF($G56&lt;=0,0,E56/(H56*$G56))</f>
        <v>0.76233333333333331</v>
      </c>
      <c r="K56" s="106">
        <f ca="1">IF($G56&lt;=0,0,F56/(I56*$G56))</f>
        <v>3.5825608456402785E-2</v>
      </c>
      <c r="L56" s="130">
        <f>VLOOKUP(B56,'Base Stations Parameters'!$B:$D,3,0)</f>
        <v>95000</v>
      </c>
      <c r="M56">
        <f ca="1">ROUNDUP(MAX(E56/H56-G56,F56/I56-G56,0),0)</f>
        <v>0</v>
      </c>
      <c r="N56" s="130">
        <f ca="1">M56*L56</f>
        <v>0</v>
      </c>
      <c r="Q56" s="69" t="s">
        <v>171</v>
      </c>
      <c r="S56" s="125">
        <v>7.4999999999999997E-2</v>
      </c>
      <c r="T56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)*S56,0)</f>
        <v>8236</v>
      </c>
      <c r="U56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)*S56</f>
        <v>2364.0890532661638</v>
      </c>
      <c r="V56" s="105">
        <f>INDEX('Sites per Region'!$A:$AO, MATCH(Q56,'Sites per Region'!$B:$B,0), MATCH(R$47,'Sites per Region'!$8:$8, 0))</f>
        <v>12</v>
      </c>
      <c r="W56" s="105">
        <f>_xlfn.LET(
_xlpm.data,'Base Stations Profiles'!$B:$T,
_xlpm.colSite,INDEX(_xlpm.data,,1),
_xlpm.colData,INDEX(_xlpm.data,,2),
_xlpm.rowRegion,MATCH(Q56,_xlpm.colSite,0),
_xlpm.rowUser,MATCH("Maximum Simultaneously Active Users per Site",_xlfn.DROP(_xlpm.colSite,_xlpm.rowRegion),0),
INDEX(_xlpm.colData,_xlpm.rowRegion+_xlpm.rowUser))</f>
        <v>750</v>
      </c>
      <c r="X56" s="124">
        <f>_xlfn.LET(
    _xlpm.data, 'Base Stations Profiles'!$B:$U,
    _xlpm.colSite, INDEX(_xlpm.data,,1),
    _xlpm.colauto, INDEX(_xlpm.data,,3),
    _xlpm.colData, INDEX(_xlpm.data,,2),
    _xlpm.rowRegion, MATCH(Q56, _xlpm.colSite, 0),
    _xlpm.rowThroughput, MATCH("Maximum Throughput for Downlink per Site", _xlfn.DROP(_xlpm.colSite, _xlpm.rowRegion), 0),
    IF(INDEX(_xlpm.colauto, _xlpm.rowRegion + _xlpm.rowThroughput)='Model Configurator Sup'!$M$4,VLOOKUP(Q56,'Base Stations Parameters'!$B:$T,4,0),INDEX(_xlpm.colData, _xlpm.rowRegion + _xlpm.rowThroughput))
)</f>
        <v>5000</v>
      </c>
      <c r="Y56" s="106">
        <f ca="1">IF($V56&lt;=0,0,T56/(W56*$V56))</f>
        <v>0.9151111111111111</v>
      </c>
      <c r="Z56" s="106">
        <f ca="1">IF($V56&lt;=0,0,U56/(X56*$V56))</f>
        <v>3.9401484221102727E-2</v>
      </c>
      <c r="AA56" s="130">
        <f>VLOOKUP(Q56,'Base Stations Parameters'!$B:$S,3,0)</f>
        <v>95000</v>
      </c>
      <c r="AB56">
        <f ca="1">ROUNDUP(MAX(T56/W56-V56,U56/X56-V56,0),0)</f>
        <v>0</v>
      </c>
      <c r="AC56" s="130">
        <f ca="1">AB56*AA56</f>
        <v>0</v>
      </c>
      <c r="AF56" s="69" t="s">
        <v>171</v>
      </c>
      <c r="AH56" s="125">
        <v>7.4999999999999997E-2</v>
      </c>
      <c r="AI56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)*AH56,0)</f>
        <v>13911</v>
      </c>
      <c r="AJ56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)*AH56</f>
        <v>3174.0064178332718</v>
      </c>
      <c r="AK56" s="105">
        <f>INDEX('Sites per Region'!$A:$BD, MATCH(AF56,'Sites per Region'!$B:$B,0), MATCH(AG$47,'Sites per Region'!$8:$8, 0))</f>
        <v>12</v>
      </c>
      <c r="AL56" s="105">
        <f>_xlfn.LET(
_xlpm.data,'Base Stations Profiles'!$B:$AI,
_xlpm.colSite,INDEX(_xlpm.data,,1),
_xlpm.colData,INDEX(_xlpm.data,,2),
_xlpm.rowRegion,MATCH(AF56,_xlpm.colSite,0),
_xlpm.rowUser,MATCH("Maximum Simultaneously Active Users per Site",_xlfn.DROP(_xlpm.colSite,_xlpm.rowRegion),0),
INDEX(_xlpm.colData,_xlpm.rowRegion+_xlpm.rowUser))</f>
        <v>750</v>
      </c>
      <c r="AM56" s="124">
        <f>_xlfn.LET(
    _xlpm.data, 'Base Stations Profiles'!$B:$AJ,
    _xlpm.colSite, INDEX(_xlpm.data,,1),
    _xlpm.colauto, INDEX(_xlpm.data,,3),
    _xlpm.colData, INDEX(_xlpm.data,,2),
    _xlpm.rowRegion, MATCH(AF56, _xlpm.colSite, 0),
    _xlpm.rowThroughput, MATCH("Maximum Throughput for Downlink per Site", _xlfn.DROP(_xlpm.colSite, _xlpm.rowRegion), 0),
    IF(INDEX(_xlpm.colauto, _xlpm.rowRegion + _xlpm.rowThroughput)='Model Configurator Sup'!$M$4,VLOOKUP(AF56,'Base Stations Parameters'!$B:$AI,4,0),INDEX(_xlpm.colData, _xlpm.rowRegion + _xlpm.rowThroughput))
)</f>
        <v>5000</v>
      </c>
      <c r="AN56" s="106">
        <f ca="1">IF($AK56&lt;=0,0,AI56/(AL56*$AK56))</f>
        <v>1.5456666666666667</v>
      </c>
      <c r="AO56" s="106">
        <f ca="1">IF($AK56&lt;=0,0,AJ56/(AM56*$AK56))</f>
        <v>5.2900106963887861E-2</v>
      </c>
      <c r="AP56" s="130">
        <f>VLOOKUP(AF56,'Base Stations Parameters'!$B:$AH,3,0)</f>
        <v>95000</v>
      </c>
      <c r="AQ56">
        <f ca="1">ROUNDUP(MAX(AI56/AL56-AK56,AJ56/AM56-AK56,0),0)</f>
        <v>7</v>
      </c>
      <c r="AR56" s="130">
        <f ca="1">AQ56*AP56</f>
        <v>665000</v>
      </c>
    </row>
    <row r="57" spans="2:44" ht="15.75" customHeight="1" thickBot="1" x14ac:dyDescent="0.3">
      <c r="B57" s="69" t="s">
        <v>248</v>
      </c>
      <c r="D57" s="125">
        <v>0.05</v>
      </c>
      <c r="E57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)*D57,0)</f>
        <v>4574</v>
      </c>
      <c r="F57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)*D57</f>
        <v>1433.0243382561116</v>
      </c>
      <c r="G57" s="105">
        <f>INDEX('Sites per Region'!$A:$Z, MATCH(B57,'Sites per Region'!$B:$B,0), MATCH(C$47,'Sites per Region'!$8:$8, 0))</f>
        <v>8.5</v>
      </c>
      <c r="H57" s="105">
        <f>_xlfn.LET(
_xlpm.data,'Base Stations Profiles'!$B:$E,
_xlpm.colSite,INDEX(_xlpm.data,,1),
_xlpm.colData,INDEX(_xlpm.data,,2),
_xlpm.rowRegion,MATCH(B57,_xlpm.colSite,0),
_xlpm.rowUser,MATCH("Maximum Simultaneously Active Users per Site",_xlfn.DROP(_xlpm.colSite,_xlpm.rowRegion),0),
INDEX(_xlpm.colData,_xlpm.rowRegion+_xlpm.rowUser))</f>
        <v>1500</v>
      </c>
      <c r="I57" s="124">
        <f>_xlfn.LET(
    _xlpm.data, 'Base Stations Profiles'!$B:$F,
    _xlpm.colSite, INDEX(_xlpm.data,,1),
    _xlpm.colauto, INDEX(_xlpm.data,,3),
    _xlpm.colData, INDEX(_xlpm.data,,2),
    _xlpm.rowRegion, MATCH(B57, _xlpm.colSite, 0),
    _xlpm.rowThroughput, MATCH("Maximum Throughput for Downlink per Site", _xlfn.DROP(_xlpm.colSite, _xlpm.rowRegion), 0),
    IF(INDEX(_xlpm.colauto, _xlpm.rowRegion + _xlpm.rowThroughput)='Model Configurator Sup'!$M$4,VLOOKUP(B57,'Base Stations Parameters'!$B:$E,4,0),INDEX(_xlpm.colData, _xlpm.rowRegion + _xlpm.rowThroughput))
)</f>
        <v>2000</v>
      </c>
      <c r="J57" s="106">
        <f ca="1">IF($G57&lt;=0,0,E57/(H57*$G57))</f>
        <v>0.35874509803921567</v>
      </c>
      <c r="K57" s="106">
        <f ca="1">IF($G57&lt;=0,0,F57/(I57*$G57))</f>
        <v>8.4295549309183038E-2</v>
      </c>
      <c r="L57" s="130">
        <f>VLOOKUP(B57,'Base Stations Parameters'!$B:$D,3,0)</f>
        <v>95000</v>
      </c>
      <c r="M57">
        <f ca="1">ROUNDUP(MAX(E57/H57-G57,F57/I57-G57,0),0)</f>
        <v>0</v>
      </c>
      <c r="N57" s="130">
        <f ca="1">M57*L57</f>
        <v>0</v>
      </c>
      <c r="Q57" s="69" t="s">
        <v>248</v>
      </c>
      <c r="S57" s="125">
        <v>0.05</v>
      </c>
      <c r="T57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)*S57,0)</f>
        <v>5490</v>
      </c>
      <c r="U57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)*S57</f>
        <v>1576.0593688441095</v>
      </c>
      <c r="V57" s="105">
        <f>INDEX('Sites per Region'!$A:$AO, MATCH(Q57,'Sites per Region'!$B:$B,0), MATCH(R$47,'Sites per Region'!$8:$8, 0))</f>
        <v>8.5</v>
      </c>
      <c r="W57" s="105">
        <f>_xlfn.LET(
_xlpm.data,'Base Stations Profiles'!$B:$T,
_xlpm.colSite,INDEX(_xlpm.data,,1),
_xlpm.colData,INDEX(_xlpm.data,,2),
_xlpm.rowRegion,MATCH(Q57,_xlpm.colSite,0),
_xlpm.rowUser,MATCH("Maximum Simultaneously Active Users per Site",_xlfn.DROP(_xlpm.colSite,_xlpm.rowRegion),0),
INDEX(_xlpm.colData,_xlpm.rowRegion+_xlpm.rowUser))</f>
        <v>1500</v>
      </c>
      <c r="X57" s="124">
        <f>_xlfn.LET(
    _xlpm.data, 'Base Stations Profiles'!$B:$U,
    _xlpm.colSite, INDEX(_xlpm.data,,1),
    _xlpm.colauto, INDEX(_xlpm.data,,3),
    _xlpm.colData, INDEX(_xlpm.data,,2),
    _xlpm.rowRegion, MATCH(Q57, _xlpm.colSite, 0),
    _xlpm.rowThroughput, MATCH("Maximum Throughput for Downlink per Site", _xlfn.DROP(_xlpm.colSite, _xlpm.rowRegion), 0),
    IF(INDEX(_xlpm.colauto, _xlpm.rowRegion + _xlpm.rowThroughput)='Model Configurator Sup'!$M$4,VLOOKUP(Q57,'Base Stations Parameters'!$B:$T,4,0),INDEX(_xlpm.colData, _xlpm.rowRegion + _xlpm.rowThroughput))
)</f>
        <v>2000</v>
      </c>
      <c r="Y57" s="106">
        <f ca="1">IF($V57&lt;=0,0,T57/(W57*$V57))</f>
        <v>0.43058823529411766</v>
      </c>
      <c r="Z57" s="106">
        <f ca="1">IF($V57&lt;=0,0,U57/(X57*$V57))</f>
        <v>9.2709374637888795E-2</v>
      </c>
      <c r="AA57" s="130">
        <f>VLOOKUP(Q57,'Base Stations Parameters'!$B:$S,3,0)</f>
        <v>95000</v>
      </c>
      <c r="AB57">
        <f ca="1">ROUNDUP(MAX(T57/W57-V57,U57/X57-V57,0),0)</f>
        <v>0</v>
      </c>
      <c r="AC57" s="130">
        <f ca="1">AB57*AA57</f>
        <v>0</v>
      </c>
      <c r="AF57" s="69" t="s">
        <v>248</v>
      </c>
      <c r="AH57" s="125">
        <v>0.05</v>
      </c>
      <c r="AI57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)*AH57,0)</f>
        <v>9274</v>
      </c>
      <c r="AJ57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)*AH57</f>
        <v>2116.0042785555147</v>
      </c>
      <c r="AK57" s="105">
        <f>INDEX('Sites per Region'!$A:$BD, MATCH(AF57,'Sites per Region'!$B:$B,0), MATCH(AG$47,'Sites per Region'!$8:$8, 0))</f>
        <v>8.5</v>
      </c>
      <c r="AL57" s="105">
        <f>_xlfn.LET(
_xlpm.data,'Base Stations Profiles'!$B:$AI,
_xlpm.colSite,INDEX(_xlpm.data,,1),
_xlpm.colData,INDEX(_xlpm.data,,2),
_xlpm.rowRegion,MATCH(AF57,_xlpm.colSite,0),
_xlpm.rowUser,MATCH("Maximum Simultaneously Active Users per Site",_xlfn.DROP(_xlpm.colSite,_xlpm.rowRegion),0),
INDEX(_xlpm.colData,_xlpm.rowRegion+_xlpm.rowUser))</f>
        <v>1500</v>
      </c>
      <c r="AM57" s="124">
        <f>_xlfn.LET(
    _xlpm.data, 'Base Stations Profiles'!$B:$AJ,
    _xlpm.colSite, INDEX(_xlpm.data,,1),
    _xlpm.colauto, INDEX(_xlpm.data,,3),
    _xlpm.colData, INDEX(_xlpm.data,,2),
    _xlpm.rowRegion, MATCH(AF57, _xlpm.colSite, 0),
    _xlpm.rowThroughput, MATCH("Maximum Throughput for Downlink per Site", _xlfn.DROP(_xlpm.colSite, _xlpm.rowRegion), 0),
    IF(INDEX(_xlpm.colauto, _xlpm.rowRegion + _xlpm.rowThroughput)='Model Configurator Sup'!$M$4,VLOOKUP(AF57,'Base Stations Parameters'!$B:$AI,4,0),INDEX(_xlpm.colData, _xlpm.rowRegion + _xlpm.rowThroughput))
)</f>
        <v>2000</v>
      </c>
      <c r="AN57" s="106">
        <f ca="1">IF($AK57&lt;=0,0,AI57/(AL57*$AK57))</f>
        <v>0.72737254901960779</v>
      </c>
      <c r="AO57" s="106">
        <f ca="1">IF($AK57&lt;=0,0,AJ57/(AM57*$AK57))</f>
        <v>0.12447083991503027</v>
      </c>
      <c r="AP57" s="130">
        <f>VLOOKUP(AF57,'Base Stations Parameters'!$B:$AH,3,0)</f>
        <v>95000</v>
      </c>
      <c r="AQ57">
        <f ca="1">ROUNDUP(MAX(AI57/AL57-AK57,AJ57/AM57-AK57,0),0)</f>
        <v>0</v>
      </c>
      <c r="AR57" s="130">
        <f ca="1">AQ57*AP57</f>
        <v>0</v>
      </c>
    </row>
    <row r="58" spans="2:44" ht="15.75" customHeight="1" thickBot="1" x14ac:dyDescent="0.3">
      <c r="B58" s="69" t="s">
        <v>172</v>
      </c>
      <c r="D58" s="125">
        <v>0.05</v>
      </c>
      <c r="E58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)*D58,0)</f>
        <v>4574</v>
      </c>
      <c r="F58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)*D58</f>
        <v>1433.0243382561116</v>
      </c>
      <c r="G58" s="105">
        <f>INDEX('Sites per Region'!$A:$Z, MATCH(B58,'Sites per Region'!$B:$B,0), MATCH(C$47,'Sites per Region'!$8:$8, 0))</f>
        <v>8.5</v>
      </c>
      <c r="H58" s="105">
        <f>_xlfn.LET(
_xlpm.data,'Base Stations Profiles'!$B:$E,
_xlpm.colSite,INDEX(_xlpm.data,,1),
_xlpm.colData,INDEX(_xlpm.data,,2),
_xlpm.rowRegion,MATCH(B58,_xlpm.colSite,0),
_xlpm.rowUser,MATCH("Maximum Simultaneously Active Users per Site",_xlfn.DROP(_xlpm.colSite,_xlpm.rowRegion),0),
INDEX(_xlpm.colData,_xlpm.rowRegion+_xlpm.rowUser))</f>
        <v>1500</v>
      </c>
      <c r="I58" s="124">
        <f>_xlfn.LET(
    _xlpm.data, 'Base Stations Profiles'!$B:$F,
    _xlpm.colSite, INDEX(_xlpm.data,,1),
    _xlpm.colauto, INDEX(_xlpm.data,,3),
    _xlpm.colData, INDEX(_xlpm.data,,2),
    _xlpm.rowRegion, MATCH(B58, _xlpm.colSite, 0),
    _xlpm.rowThroughput, MATCH("Maximum Throughput for Downlink per Site", _xlfn.DROP(_xlpm.colSite, _xlpm.rowRegion), 0),
    IF(INDEX(_xlpm.colauto, _xlpm.rowRegion + _xlpm.rowThroughput)='Model Configurator Sup'!$M$4,VLOOKUP(B58,'Base Stations Parameters'!$B:$E,4,0),INDEX(_xlpm.colData, _xlpm.rowRegion + _xlpm.rowThroughput))
)</f>
        <v>2000</v>
      </c>
      <c r="J58" s="106">
        <f ca="1">IF($G58&lt;=0,0,E58/(H58*$G58))</f>
        <v>0.35874509803921567</v>
      </c>
      <c r="K58" s="106">
        <f ca="1">IF($G58&lt;=0,0,F58/(I58*$G58))</f>
        <v>8.4295549309183038E-2</v>
      </c>
      <c r="L58" s="130">
        <f>VLOOKUP(B58,'Base Stations Parameters'!$B:$D,3,0)</f>
        <v>80000</v>
      </c>
      <c r="M58">
        <f ca="1">ROUNDUP(MAX(E58/H58-G58,F58/I58-G58,0),0)</f>
        <v>0</v>
      </c>
      <c r="N58" s="130">
        <f ca="1">M58*L58</f>
        <v>0</v>
      </c>
      <c r="Q58" s="69" t="s">
        <v>172</v>
      </c>
      <c r="S58" s="125">
        <v>0.05</v>
      </c>
      <c r="T58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)*S58,0)</f>
        <v>5490</v>
      </c>
      <c r="U58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)*S58</f>
        <v>1576.0593688441095</v>
      </c>
      <c r="V58" s="105">
        <f>INDEX('Sites per Region'!$A:$AO, MATCH(Q58,'Sites per Region'!$B:$B,0), MATCH(R$47,'Sites per Region'!$8:$8, 0))</f>
        <v>8.5</v>
      </c>
      <c r="W58" s="105">
        <f>_xlfn.LET(
_xlpm.data,'Base Stations Profiles'!$B:$T,
_xlpm.colSite,INDEX(_xlpm.data,,1),
_xlpm.colData,INDEX(_xlpm.data,,2),
_xlpm.rowRegion,MATCH(Q58,_xlpm.colSite,0),
_xlpm.rowUser,MATCH("Maximum Simultaneously Active Users per Site",_xlfn.DROP(_xlpm.colSite,_xlpm.rowRegion),0),
INDEX(_xlpm.colData,_xlpm.rowRegion+_xlpm.rowUser))</f>
        <v>1500</v>
      </c>
      <c r="X58" s="124">
        <f>_xlfn.LET(
    _xlpm.data, 'Base Stations Profiles'!$B:$U,
    _xlpm.colSite, INDEX(_xlpm.data,,1),
    _xlpm.colauto, INDEX(_xlpm.data,,3),
    _xlpm.colData, INDEX(_xlpm.data,,2),
    _xlpm.rowRegion, MATCH(Q58, _xlpm.colSite, 0),
    _xlpm.rowThroughput, MATCH("Maximum Throughput for Downlink per Site", _xlfn.DROP(_xlpm.colSite, _xlpm.rowRegion), 0),
    IF(INDEX(_xlpm.colauto, _xlpm.rowRegion + _xlpm.rowThroughput)='Model Configurator Sup'!$M$4,VLOOKUP(Q58,'Base Stations Parameters'!$B:$T,4,0),INDEX(_xlpm.colData, _xlpm.rowRegion + _xlpm.rowThroughput))
)</f>
        <v>2000</v>
      </c>
      <c r="Y58" s="106">
        <f ca="1">IF($V58&lt;=0,0,T58/(W58*$V58))</f>
        <v>0.43058823529411766</v>
      </c>
      <c r="Z58" s="106">
        <f ca="1">IF($V58&lt;=0,0,U58/(X58*$V58))</f>
        <v>9.2709374637888795E-2</v>
      </c>
      <c r="AA58" s="130">
        <f>VLOOKUP(Q58,'Base Stations Parameters'!$B:$S,3,0)</f>
        <v>80000</v>
      </c>
      <c r="AB58">
        <f ca="1">ROUNDUP(MAX(T58/W58-V58,U58/X58-V58,0),0)</f>
        <v>0</v>
      </c>
      <c r="AC58" s="130">
        <f ca="1">AB58*AA58</f>
        <v>0</v>
      </c>
      <c r="AF58" s="69" t="s">
        <v>172</v>
      </c>
      <c r="AH58" s="125">
        <v>0.05</v>
      </c>
      <c r="AI58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)*AH58,0)</f>
        <v>9274</v>
      </c>
      <c r="AJ58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)*AH58</f>
        <v>2116.0042785555147</v>
      </c>
      <c r="AK58" s="105">
        <f>INDEX('Sites per Region'!$A:$BD, MATCH(AF58,'Sites per Region'!$B:$B,0), MATCH(AG$47,'Sites per Region'!$8:$8, 0))</f>
        <v>8.5</v>
      </c>
      <c r="AL58" s="105">
        <f>_xlfn.LET(
_xlpm.data,'Base Stations Profiles'!$B:$AI,
_xlpm.colSite,INDEX(_xlpm.data,,1),
_xlpm.colData,INDEX(_xlpm.data,,2),
_xlpm.rowRegion,MATCH(AF58,_xlpm.colSite,0),
_xlpm.rowUser,MATCH("Maximum Simultaneously Active Users per Site",_xlfn.DROP(_xlpm.colSite,_xlpm.rowRegion),0),
INDEX(_xlpm.colData,_xlpm.rowRegion+_xlpm.rowUser))</f>
        <v>1500</v>
      </c>
      <c r="AM58" s="124">
        <f>_xlfn.LET(
    _xlpm.data, 'Base Stations Profiles'!$B:$AJ,
    _xlpm.colSite, INDEX(_xlpm.data,,1),
    _xlpm.colauto, INDEX(_xlpm.data,,3),
    _xlpm.colData, INDEX(_xlpm.data,,2),
    _xlpm.rowRegion, MATCH(AF58, _xlpm.colSite, 0),
    _xlpm.rowThroughput, MATCH("Maximum Throughput for Downlink per Site", _xlfn.DROP(_xlpm.colSite, _xlpm.rowRegion), 0),
    IF(INDEX(_xlpm.colauto, _xlpm.rowRegion + _xlpm.rowThroughput)='Model Configurator Sup'!$M$4,VLOOKUP(AF58,'Base Stations Parameters'!$B:$AI,4,0),INDEX(_xlpm.colData, _xlpm.rowRegion + _xlpm.rowThroughput))
)</f>
        <v>2000</v>
      </c>
      <c r="AN58" s="106">
        <f ca="1">IF($AK58&lt;=0,0,AI58/(AL58*$AK58))</f>
        <v>0.72737254901960779</v>
      </c>
      <c r="AO58" s="106">
        <f ca="1">IF($AK58&lt;=0,0,AJ58/(AM58*$AK58))</f>
        <v>0.12447083991503027</v>
      </c>
      <c r="AP58" s="130">
        <f>VLOOKUP(AF58,'Base Stations Parameters'!$B:$AH,3,0)</f>
        <v>80000</v>
      </c>
      <c r="AQ58">
        <f ca="1">ROUNDUP(MAX(AI58/AL58-AK58,AJ58/AM58-AK58,0),0)</f>
        <v>0</v>
      </c>
      <c r="AR58" s="130">
        <f ca="1">AQ58*AP58</f>
        <v>0</v>
      </c>
    </row>
    <row r="59" spans="2:44" ht="15.75" customHeight="1" thickBot="1" x14ac:dyDescent="0.3">
      <c r="B59" s="69" t="s">
        <v>249</v>
      </c>
      <c r="D59" s="125">
        <v>0.05</v>
      </c>
      <c r="E59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)*D59,0)</f>
        <v>4574</v>
      </c>
      <c r="F59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)*D59</f>
        <v>1433.0243382561116</v>
      </c>
      <c r="G59" s="105">
        <f>INDEX('Sites per Region'!$A:$Z, MATCH(B59,'Sites per Region'!$B:$B,0), MATCH(C$47,'Sites per Region'!$8:$8, 0))</f>
        <v>5</v>
      </c>
      <c r="H59" s="105">
        <f>_xlfn.LET(
_xlpm.data,'Base Stations Profiles'!$B:$E,
_xlpm.colSite,INDEX(_xlpm.data,,1),
_xlpm.colData,INDEX(_xlpm.data,,2),
_xlpm.rowRegion,MATCH(B59,_xlpm.colSite,0),
_xlpm.rowUser,MATCH("Maximum Simultaneously Active Users per Site",_xlfn.DROP(_xlpm.colSite,_xlpm.rowRegion),0),
INDEX(_xlpm.colData,_xlpm.rowRegion+_xlpm.rowUser))</f>
        <v>800</v>
      </c>
      <c r="I59" s="124">
        <f>_xlfn.LET(
    _xlpm.data, 'Base Stations Profiles'!$B:$F,
    _xlpm.colSite, INDEX(_xlpm.data,,1),
    _xlpm.colauto, INDEX(_xlpm.data,,3),
    _xlpm.colData, INDEX(_xlpm.data,,2),
    _xlpm.rowRegion, MATCH(B59, _xlpm.colSite, 0),
    _xlpm.rowThroughput, MATCH("Maximum Throughput for Downlink per Site", _xlfn.DROP(_xlpm.colSite, _xlpm.rowRegion), 0),
    IF(INDEX(_xlpm.colauto, _xlpm.rowRegion + _xlpm.rowThroughput)='Model Configurator Sup'!$M$4,VLOOKUP(B59,'Base Stations Parameters'!$B:$E,4,0),INDEX(_xlpm.colData, _xlpm.rowRegion + _xlpm.rowThroughput))
)</f>
        <v>1200</v>
      </c>
      <c r="J59" s="106">
        <f ca="1">IF($G59&lt;=0,0,E59/(H59*$G59))</f>
        <v>1.1435</v>
      </c>
      <c r="K59" s="106">
        <f ca="1">IF($G59&lt;=0,0,F59/(I59*$G59))</f>
        <v>0.23883738970935192</v>
      </c>
      <c r="L59" s="130">
        <f>VLOOKUP(B59,'Base Stations Parameters'!$B:$D,3,0)</f>
        <v>80000</v>
      </c>
      <c r="M59">
        <f ca="1">ROUNDUP(MAX(E59/H59-G59,F59/I59-G59,0),0)</f>
        <v>1</v>
      </c>
      <c r="N59" s="130">
        <f ca="1">M59*L59</f>
        <v>80000</v>
      </c>
      <c r="Q59" s="69" t="s">
        <v>249</v>
      </c>
      <c r="S59" s="125">
        <v>0.05</v>
      </c>
      <c r="T59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)*S59,0)</f>
        <v>5490</v>
      </c>
      <c r="U59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)*S59</f>
        <v>1576.0593688441095</v>
      </c>
      <c r="V59" s="105">
        <f>INDEX('Sites per Region'!$A:$AO, MATCH(Q59,'Sites per Region'!$B:$B,0), MATCH(R$47,'Sites per Region'!$8:$8, 0))</f>
        <v>5</v>
      </c>
      <c r="W59" s="105">
        <f>_xlfn.LET(
_xlpm.data,'Base Stations Profiles'!$B:$T,
_xlpm.colSite,INDEX(_xlpm.data,,1),
_xlpm.colData,INDEX(_xlpm.data,,2),
_xlpm.rowRegion,MATCH(Q59,_xlpm.colSite,0),
_xlpm.rowUser,MATCH("Maximum Simultaneously Active Users per Site",_xlfn.DROP(_xlpm.colSite,_xlpm.rowRegion),0),
INDEX(_xlpm.colData,_xlpm.rowRegion+_xlpm.rowUser))</f>
        <v>800</v>
      </c>
      <c r="X59" s="124">
        <f>_xlfn.LET(
    _xlpm.data, 'Base Stations Profiles'!$B:$U,
    _xlpm.colSite, INDEX(_xlpm.data,,1),
    _xlpm.colauto, INDEX(_xlpm.data,,3),
    _xlpm.colData, INDEX(_xlpm.data,,2),
    _xlpm.rowRegion, MATCH(Q59, _xlpm.colSite, 0),
    _xlpm.rowThroughput, MATCH("Maximum Throughput for Downlink per Site", _xlfn.DROP(_xlpm.colSite, _xlpm.rowRegion), 0),
    IF(INDEX(_xlpm.colauto, _xlpm.rowRegion + _xlpm.rowThroughput)='Model Configurator Sup'!$M$4,VLOOKUP(Q59,'Base Stations Parameters'!$B:$T,4,0),INDEX(_xlpm.colData, _xlpm.rowRegion + _xlpm.rowThroughput))
)</f>
        <v>1200</v>
      </c>
      <c r="Y59" s="106">
        <f ca="1">IF($V59&lt;=0,0,T59/(W59*$V59))</f>
        <v>1.3725000000000001</v>
      </c>
      <c r="Z59" s="106">
        <f ca="1">IF($V59&lt;=0,0,U59/(X59*$V59))</f>
        <v>0.26267656147401824</v>
      </c>
      <c r="AA59" s="130">
        <f>VLOOKUP(Q59,'Base Stations Parameters'!$B:$S,3,0)</f>
        <v>80000</v>
      </c>
      <c r="AB59">
        <f ca="1">ROUNDUP(MAX(T59/W59-V59,U59/X59-V59,0),0)</f>
        <v>2</v>
      </c>
      <c r="AC59" s="130">
        <f ca="1">AB59*AA59</f>
        <v>160000</v>
      </c>
      <c r="AF59" s="69" t="s">
        <v>249</v>
      </c>
      <c r="AH59" s="125">
        <v>0.05</v>
      </c>
      <c r="AI59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)*AH59,0)</f>
        <v>9274</v>
      </c>
      <c r="AJ59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)*AH59</f>
        <v>2116.0042785555147</v>
      </c>
      <c r="AK59" s="105">
        <f>INDEX('Sites per Region'!$A:$BD, MATCH(AF59,'Sites per Region'!$B:$B,0), MATCH(AG$47,'Sites per Region'!$8:$8, 0))</f>
        <v>5</v>
      </c>
      <c r="AL59" s="105">
        <f>_xlfn.LET(
_xlpm.data,'Base Stations Profiles'!$B:$AI,
_xlpm.colSite,INDEX(_xlpm.data,,1),
_xlpm.colData,INDEX(_xlpm.data,,2),
_xlpm.rowRegion,MATCH(AF59,_xlpm.colSite,0),
_xlpm.rowUser,MATCH("Maximum Simultaneously Active Users per Site",_xlfn.DROP(_xlpm.colSite,_xlpm.rowRegion),0),
INDEX(_xlpm.colData,_xlpm.rowRegion+_xlpm.rowUser))</f>
        <v>800</v>
      </c>
      <c r="AM59" s="124">
        <f>_xlfn.LET(
    _xlpm.data, 'Base Stations Profiles'!$B:$AJ,
    _xlpm.colSite, INDEX(_xlpm.data,,1),
    _xlpm.colauto, INDEX(_xlpm.data,,3),
    _xlpm.colData, INDEX(_xlpm.data,,2),
    _xlpm.rowRegion, MATCH(AF59, _xlpm.colSite, 0),
    _xlpm.rowThroughput, MATCH("Maximum Throughput for Downlink per Site", _xlfn.DROP(_xlpm.colSite, _xlpm.rowRegion), 0),
    IF(INDEX(_xlpm.colauto, _xlpm.rowRegion + _xlpm.rowThroughput)='Model Configurator Sup'!$M$4,VLOOKUP(AF59,'Base Stations Parameters'!$B:$AI,4,0),INDEX(_xlpm.colData, _xlpm.rowRegion + _xlpm.rowThroughput))
)</f>
        <v>1200</v>
      </c>
      <c r="AN59" s="106">
        <f ca="1">IF($AK59&lt;=0,0,AI59/(AL59*$AK59))</f>
        <v>2.3184999999999998</v>
      </c>
      <c r="AO59" s="106">
        <f ca="1">IF($AK59&lt;=0,0,AJ59/(AM59*$AK59))</f>
        <v>0.35266737975925244</v>
      </c>
      <c r="AP59" s="130">
        <f>VLOOKUP(AF59,'Base Stations Parameters'!$B:$AH,3,0)</f>
        <v>80000</v>
      </c>
      <c r="AQ59">
        <f ca="1">ROUNDUP(MAX(AI59/AL59-AK59,AJ59/AM59-AK59,0),0)</f>
        <v>7</v>
      </c>
      <c r="AR59" s="130">
        <f ca="1">AQ59*AP59</f>
        <v>560000</v>
      </c>
    </row>
    <row r="60" spans="2:44" ht="15.75" customHeight="1" thickBot="1" x14ac:dyDescent="0.3">
      <c r="B60" s="69" t="s">
        <v>173</v>
      </c>
      <c r="D60" s="125">
        <v>0.05</v>
      </c>
      <c r="E60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)*D60,0)</f>
        <v>4574</v>
      </c>
      <c r="F60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)*D60</f>
        <v>1433.0243382561116</v>
      </c>
      <c r="G60" s="105">
        <f>INDEX('Sites per Region'!$A:$Z, MATCH(B60,'Sites per Region'!$B:$B,0), MATCH(C$47,'Sites per Region'!$8:$8, 0))</f>
        <v>5</v>
      </c>
      <c r="H60" s="105">
        <f>_xlfn.LET(
_xlpm.data,'Base Stations Profiles'!$B:$E,
_xlpm.colSite,INDEX(_xlpm.data,,1),
_xlpm.colData,INDEX(_xlpm.data,,2),
_xlpm.rowRegion,MATCH(B60,_xlpm.colSite,0),
_xlpm.rowUser,MATCH("Maximum Simultaneously Active Users per Site",_xlfn.DROP(_xlpm.colSite,_xlpm.rowRegion),0),
INDEX(_xlpm.colData,_xlpm.rowRegion+_xlpm.rowUser))</f>
        <v>800</v>
      </c>
      <c r="I60" s="124">
        <f>_xlfn.LET(
    _xlpm.data, 'Base Stations Profiles'!$B:$F,
    _xlpm.colSite, INDEX(_xlpm.data,,1),
    _xlpm.colauto, INDEX(_xlpm.data,,3),
    _xlpm.colData, INDEX(_xlpm.data,,2),
    _xlpm.rowRegion, MATCH(B60, _xlpm.colSite, 0),
    _xlpm.rowThroughput, MATCH("Maximum Throughput for Downlink per Site", _xlfn.DROP(_xlpm.colSite, _xlpm.rowRegion), 0),
    IF(INDEX(_xlpm.colauto, _xlpm.rowRegion + _xlpm.rowThroughput)='Model Configurator Sup'!$M$4,VLOOKUP(B60,'Base Stations Parameters'!$B:$E,4,0),INDEX(_xlpm.colData, _xlpm.rowRegion + _xlpm.rowThroughput))
)</f>
        <v>1200</v>
      </c>
      <c r="J60" s="106">
        <f ca="1">IF($G60&lt;=0,0,E60/(H60*$G60))</f>
        <v>1.1435</v>
      </c>
      <c r="K60" s="106">
        <f ca="1">IF($G60&lt;=0,0,F60/(I60*$G60))</f>
        <v>0.23883738970935192</v>
      </c>
      <c r="L60" s="130">
        <f>VLOOKUP(B60,'Base Stations Parameters'!$B:$D,3,0)</f>
        <v>60000</v>
      </c>
      <c r="M60">
        <f ca="1">ROUNDUP(MAX(E60/H60-G60,F60/I60-G60,0),0)</f>
        <v>1</v>
      </c>
      <c r="N60" s="130">
        <f ca="1">M60*L60</f>
        <v>60000</v>
      </c>
      <c r="Q60" s="69" t="s">
        <v>173</v>
      </c>
      <c r="S60" s="125">
        <v>0.05</v>
      </c>
      <c r="T60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)*S60,0)</f>
        <v>5490</v>
      </c>
      <c r="U60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)*S60</f>
        <v>1576.0593688441095</v>
      </c>
      <c r="V60" s="105">
        <f>INDEX('Sites per Region'!$A:$AO, MATCH(Q60,'Sites per Region'!$B:$B,0), MATCH(R$47,'Sites per Region'!$8:$8, 0))</f>
        <v>5</v>
      </c>
      <c r="W60" s="105">
        <f>_xlfn.LET(
_xlpm.data,'Base Stations Profiles'!$B:$T,
_xlpm.colSite,INDEX(_xlpm.data,,1),
_xlpm.colData,INDEX(_xlpm.data,,2),
_xlpm.rowRegion,MATCH(Q60,_xlpm.colSite,0),
_xlpm.rowUser,MATCH("Maximum Simultaneously Active Users per Site",_xlfn.DROP(_xlpm.colSite,_xlpm.rowRegion),0),
INDEX(_xlpm.colData,_xlpm.rowRegion+_xlpm.rowUser))</f>
        <v>800</v>
      </c>
      <c r="X60" s="124">
        <f>_xlfn.LET(
    _xlpm.data, 'Base Stations Profiles'!$B:$U,
    _xlpm.colSite, INDEX(_xlpm.data,,1),
    _xlpm.colauto, INDEX(_xlpm.data,,3),
    _xlpm.colData, INDEX(_xlpm.data,,2),
    _xlpm.rowRegion, MATCH(Q60, _xlpm.colSite, 0),
    _xlpm.rowThroughput, MATCH("Maximum Throughput for Downlink per Site", _xlfn.DROP(_xlpm.colSite, _xlpm.rowRegion), 0),
    IF(INDEX(_xlpm.colauto, _xlpm.rowRegion + _xlpm.rowThroughput)='Model Configurator Sup'!$M$4,VLOOKUP(Q60,'Base Stations Parameters'!$B:$T,4,0),INDEX(_xlpm.colData, _xlpm.rowRegion + _xlpm.rowThroughput))
)</f>
        <v>1200</v>
      </c>
      <c r="Y60" s="106">
        <f ca="1">IF($V60&lt;=0,0,T60/(W60*$V60))</f>
        <v>1.3725000000000001</v>
      </c>
      <c r="Z60" s="106">
        <f ca="1">IF($V60&lt;=0,0,U60/(X60*$V60))</f>
        <v>0.26267656147401824</v>
      </c>
      <c r="AA60" s="130">
        <f>VLOOKUP(Q60,'Base Stations Parameters'!$B:$S,3,0)</f>
        <v>60000</v>
      </c>
      <c r="AB60">
        <f ca="1">ROUNDUP(MAX(T60/W60-V60,U60/X60-V60,0),0)</f>
        <v>2</v>
      </c>
      <c r="AC60" s="130">
        <f ca="1">AB60*AA60</f>
        <v>120000</v>
      </c>
      <c r="AF60" s="69" t="s">
        <v>173</v>
      </c>
      <c r="AH60" s="125">
        <v>0.05</v>
      </c>
      <c r="AI60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)*AH60,0)</f>
        <v>9274</v>
      </c>
      <c r="AJ60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)*AH60</f>
        <v>2116.0042785555147</v>
      </c>
      <c r="AK60" s="105">
        <f>INDEX('Sites per Region'!$A:$BD, MATCH(AF60,'Sites per Region'!$B:$B,0), MATCH(AG$47,'Sites per Region'!$8:$8, 0))</f>
        <v>5</v>
      </c>
      <c r="AL60" s="105">
        <f>_xlfn.LET(
_xlpm.data,'Base Stations Profiles'!$B:$AI,
_xlpm.colSite,INDEX(_xlpm.data,,1),
_xlpm.colData,INDEX(_xlpm.data,,2),
_xlpm.rowRegion,MATCH(AF60,_xlpm.colSite,0),
_xlpm.rowUser,MATCH("Maximum Simultaneously Active Users per Site",_xlfn.DROP(_xlpm.colSite,_xlpm.rowRegion),0),
INDEX(_xlpm.colData,_xlpm.rowRegion+_xlpm.rowUser))</f>
        <v>800</v>
      </c>
      <c r="AM60" s="124">
        <f>_xlfn.LET(
    _xlpm.data, 'Base Stations Profiles'!$B:$AJ,
    _xlpm.colSite, INDEX(_xlpm.data,,1),
    _xlpm.colauto, INDEX(_xlpm.data,,3),
    _xlpm.colData, INDEX(_xlpm.data,,2),
    _xlpm.rowRegion, MATCH(AF60, _xlpm.colSite, 0),
    _xlpm.rowThroughput, MATCH("Maximum Throughput for Downlink per Site", _xlfn.DROP(_xlpm.colSite, _xlpm.rowRegion), 0),
    IF(INDEX(_xlpm.colauto, _xlpm.rowRegion + _xlpm.rowThroughput)='Model Configurator Sup'!$M$4,VLOOKUP(AF60,'Base Stations Parameters'!$B:$AI,4,0),INDEX(_xlpm.colData, _xlpm.rowRegion + _xlpm.rowThroughput))
)</f>
        <v>1200</v>
      </c>
      <c r="AN60" s="106">
        <f ca="1">IF($AK60&lt;=0,0,AI60/(AL60*$AK60))</f>
        <v>2.3184999999999998</v>
      </c>
      <c r="AO60" s="106">
        <f ca="1">IF($AK60&lt;=0,0,AJ60/(AM60*$AK60))</f>
        <v>0.35266737975925244</v>
      </c>
      <c r="AP60" s="130">
        <f>VLOOKUP(AF60,'Base Stations Parameters'!$B:$AH,3,0)</f>
        <v>60000</v>
      </c>
      <c r="AQ60">
        <f ca="1">ROUNDUP(MAX(AI60/AL60-AK60,AJ60/AM60-AK60,0),0)</f>
        <v>7</v>
      </c>
      <c r="AR60" s="130">
        <f ca="1">AQ60*AP60</f>
        <v>420000</v>
      </c>
    </row>
    <row r="61" spans="2:44" ht="15.75" customHeight="1" thickBot="1" x14ac:dyDescent="0.3">
      <c r="B61" s="69" t="s">
        <v>250</v>
      </c>
      <c r="D61" s="125">
        <v>2.5000000000000001E-2</v>
      </c>
      <c r="E61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)*D61,0)</f>
        <v>2287</v>
      </c>
      <c r="F61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)*D61</f>
        <v>716.5121691280558</v>
      </c>
      <c r="G61" s="105">
        <f>INDEX('Sites per Region'!$A:$Z, MATCH(B61,'Sites per Region'!$B:$B,0), MATCH(C$47,'Sites per Region'!$8:$8, 0))</f>
        <v>9.5</v>
      </c>
      <c r="H61" s="105">
        <f>_xlfn.LET(
_xlpm.data,'Base Stations Profiles'!$B:$E,
_xlpm.colSite,INDEX(_xlpm.data,,1),
_xlpm.colData,INDEX(_xlpm.data,,2),
_xlpm.rowRegion,MATCH(B61,_xlpm.colSite,0),
_xlpm.rowUser,MATCH("Maximum Simultaneously Active Users per Site",_xlfn.DROP(_xlpm.colSite,_xlpm.rowRegion),0),
INDEX(_xlpm.colData,_xlpm.rowRegion+_xlpm.rowUser))</f>
        <v>400</v>
      </c>
      <c r="I61" s="124">
        <f>_xlfn.LET(
    _xlpm.data, 'Base Stations Profiles'!$B:$F,
    _xlpm.colSite, INDEX(_xlpm.data,,1),
    _xlpm.colauto, INDEX(_xlpm.data,,3),
    _xlpm.colData, INDEX(_xlpm.data,,2),
    _xlpm.rowRegion, MATCH(B61, _xlpm.colSite, 0),
    _xlpm.rowThroughput, MATCH("Maximum Throughput for Downlink per Site", _xlfn.DROP(_xlpm.colSite, _xlpm.rowRegion), 0),
    IF(INDEX(_xlpm.colauto, _xlpm.rowRegion + _xlpm.rowThroughput)='Model Configurator Sup'!$M$4,VLOOKUP(B61,'Base Stations Parameters'!$B:$E,4,0),INDEX(_xlpm.colData, _xlpm.rowRegion + _xlpm.rowThroughput))
)</f>
        <v>300</v>
      </c>
      <c r="J61" s="106">
        <f ca="1">IF($G61&lt;=0,0,E61/(H61*$G61))</f>
        <v>0.60184210526315784</v>
      </c>
      <c r="K61" s="106">
        <f ca="1">IF($G61&lt;=0,0,F61/(I61*$G61))</f>
        <v>0.25140777864142311</v>
      </c>
      <c r="L61" s="130">
        <f>VLOOKUP(B61,'Base Stations Parameters'!$B:$D,3,0)</f>
        <v>60000</v>
      </c>
      <c r="M61">
        <f ca="1">ROUNDUP(MAX(E61/H61-G61,F61/I61-G61,0),0)</f>
        <v>0</v>
      </c>
      <c r="N61" s="130">
        <f ca="1">M61*L61</f>
        <v>0</v>
      </c>
      <c r="Q61" s="69" t="s">
        <v>250</v>
      </c>
      <c r="S61" s="125">
        <v>2.5000000000000001E-2</v>
      </c>
      <c r="T61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)*S61,0)</f>
        <v>2745</v>
      </c>
      <c r="U61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)*S61</f>
        <v>788.02968442205474</v>
      </c>
      <c r="V61" s="105">
        <f>INDEX('Sites per Region'!$A:$AO, MATCH(Q61,'Sites per Region'!$B:$B,0), MATCH(R$47,'Sites per Region'!$8:$8, 0))</f>
        <v>9.5</v>
      </c>
      <c r="W61" s="105">
        <f>_xlfn.LET(
_xlpm.data,'Base Stations Profiles'!$B:$T,
_xlpm.colSite,INDEX(_xlpm.data,,1),
_xlpm.colData,INDEX(_xlpm.data,,2),
_xlpm.rowRegion,MATCH(Q61,_xlpm.colSite,0),
_xlpm.rowUser,MATCH("Maximum Simultaneously Active Users per Site",_xlfn.DROP(_xlpm.colSite,_xlpm.rowRegion),0),
INDEX(_xlpm.colData,_xlpm.rowRegion+_xlpm.rowUser))</f>
        <v>400</v>
      </c>
      <c r="X61" s="124">
        <f>_xlfn.LET(
    _xlpm.data, 'Base Stations Profiles'!$B:$U,
    _xlpm.colSite, INDEX(_xlpm.data,,1),
    _xlpm.colauto, INDEX(_xlpm.data,,3),
    _xlpm.colData, INDEX(_xlpm.data,,2),
    _xlpm.rowRegion, MATCH(Q61, _xlpm.colSite, 0),
    _xlpm.rowThroughput, MATCH("Maximum Throughput for Downlink per Site", _xlfn.DROP(_xlpm.colSite, _xlpm.rowRegion), 0),
    IF(INDEX(_xlpm.colauto, _xlpm.rowRegion + _xlpm.rowThroughput)='Model Configurator Sup'!$M$4,VLOOKUP(Q61,'Base Stations Parameters'!$B:$T,4,0),INDEX(_xlpm.colData, _xlpm.rowRegion + _xlpm.rowThroughput))
)</f>
        <v>300</v>
      </c>
      <c r="Y61" s="106">
        <f ca="1">IF($V61&lt;=0,0,T61/(W61*$V61))</f>
        <v>0.72236842105263155</v>
      </c>
      <c r="Z61" s="106">
        <f ca="1">IF($V61&lt;=0,0,U61/(X61*$V61))</f>
        <v>0.27650164365686131</v>
      </c>
      <c r="AA61" s="130">
        <f>VLOOKUP(Q61,'Base Stations Parameters'!$B:$S,3,0)</f>
        <v>60000</v>
      </c>
      <c r="AB61">
        <f ca="1">ROUNDUP(MAX(T61/W61-V61,U61/X61-V61,0),0)</f>
        <v>0</v>
      </c>
      <c r="AC61" s="130">
        <f ca="1">AB61*AA61</f>
        <v>0</v>
      </c>
      <c r="AF61" s="69" t="s">
        <v>250</v>
      </c>
      <c r="AH61" s="125">
        <v>2.5000000000000001E-2</v>
      </c>
      <c r="AI61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)*AH61,0)</f>
        <v>4637</v>
      </c>
      <c r="AJ61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)*AH61</f>
        <v>1058.0021392777574</v>
      </c>
      <c r="AK61" s="105">
        <f>INDEX('Sites per Region'!$A:$BD, MATCH(AF61,'Sites per Region'!$B:$B,0), MATCH(AG$47,'Sites per Region'!$8:$8, 0))</f>
        <v>9.5</v>
      </c>
      <c r="AL61" s="105">
        <f>_xlfn.LET(
_xlpm.data,'Base Stations Profiles'!$B:$AI,
_xlpm.colSite,INDEX(_xlpm.data,,1),
_xlpm.colData,INDEX(_xlpm.data,,2),
_xlpm.rowRegion,MATCH(AF61,_xlpm.colSite,0),
_xlpm.rowUser,MATCH("Maximum Simultaneously Active Users per Site",_xlfn.DROP(_xlpm.colSite,_xlpm.rowRegion),0),
INDEX(_xlpm.colData,_xlpm.rowRegion+_xlpm.rowUser))</f>
        <v>400</v>
      </c>
      <c r="AM61" s="124">
        <f>_xlfn.LET(
    _xlpm.data, 'Base Stations Profiles'!$B:$AJ,
    _xlpm.colSite, INDEX(_xlpm.data,,1),
    _xlpm.colauto, INDEX(_xlpm.data,,3),
    _xlpm.colData, INDEX(_xlpm.data,,2),
    _xlpm.rowRegion, MATCH(AF61, _xlpm.colSite, 0),
    _xlpm.rowThroughput, MATCH("Maximum Throughput for Downlink per Site", _xlfn.DROP(_xlpm.colSite, _xlpm.rowRegion), 0),
    IF(INDEX(_xlpm.colauto, _xlpm.rowRegion + _xlpm.rowThroughput)='Model Configurator Sup'!$M$4,VLOOKUP(AF61,'Base Stations Parameters'!$B:$AI,4,0),INDEX(_xlpm.colData, _xlpm.rowRegion + _xlpm.rowThroughput))
)</f>
        <v>300</v>
      </c>
      <c r="AN61" s="106">
        <f ca="1">IF($AK61&lt;=0,0,AI61/(AL61*$AK61))</f>
        <v>1.2202631578947369</v>
      </c>
      <c r="AO61" s="106">
        <f ca="1">IF($AK61&lt;=0,0,AJ61/(AM61*$AK61))</f>
        <v>0.3712288207992131</v>
      </c>
      <c r="AP61" s="130">
        <f>VLOOKUP(AF61,'Base Stations Parameters'!$B:$AH,3,0)</f>
        <v>60000</v>
      </c>
      <c r="AQ61">
        <f ca="1">ROUNDUP(MAX(AI61/AL61-AK61,AJ61/AM61-AK61,0),0)</f>
        <v>3</v>
      </c>
      <c r="AR61" s="130">
        <f ca="1">AQ61*AP61</f>
        <v>180000</v>
      </c>
    </row>
    <row r="62" spans="2:44" ht="15.75" customHeight="1" thickBot="1" x14ac:dyDescent="0.3">
      <c r="B62" s="69" t="s">
        <v>174</v>
      </c>
      <c r="D62" s="125">
        <v>2.5000000000000001E-2</v>
      </c>
      <c r="E62" s="123">
        <f ca="1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)*D62,0)</f>
        <v>2287</v>
      </c>
      <c r="F62" s="122">
        <f ca="1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)*D62</f>
        <v>716.5121691280558</v>
      </c>
      <c r="G62" s="105">
        <f>INDEX('Sites per Region'!$A:$Z, MATCH(B62,'Sites per Region'!$B:$B,0), MATCH(C$47,'Sites per Region'!$8:$8, 0))</f>
        <v>9.5</v>
      </c>
      <c r="H62" s="105">
        <f>_xlfn.LET(
_xlpm.data,'Base Stations Profiles'!$B:$E,
_xlpm.colSite,INDEX(_xlpm.data,,1),
_xlpm.colData,INDEX(_xlpm.data,,2),
_xlpm.rowRegion,MATCH(B62,_xlpm.colSite,0),
_xlpm.rowUser,MATCH("Maximum Simultaneously Active Users per Site",_xlfn.DROP(_xlpm.colSite,_xlpm.rowRegion),0),
INDEX(_xlpm.colData,_xlpm.rowRegion+_xlpm.rowUser))</f>
        <v>400</v>
      </c>
      <c r="I62" s="124">
        <f>_xlfn.LET(
    _xlpm.data, 'Base Stations Profiles'!$B:$F,
    _xlpm.colSite, INDEX(_xlpm.data,,1),
    _xlpm.colauto, INDEX(_xlpm.data,,3),
    _xlpm.colData, INDEX(_xlpm.data,,2),
    _xlpm.rowRegion, MATCH(B62, _xlpm.colSite, 0),
    _xlpm.rowThroughput, MATCH("Maximum Throughput for Downlink per Site", _xlfn.DROP(_xlpm.colSite, _xlpm.rowRegion), 0),
    IF(INDEX(_xlpm.colauto, _xlpm.rowRegion + _xlpm.rowThroughput)='Model Configurator Sup'!$M$4,VLOOKUP(B62,'Base Stations Parameters'!$B:$E,4,0),INDEX(_xlpm.colData, _xlpm.rowRegion + _xlpm.rowThroughput))
)</f>
        <v>300</v>
      </c>
      <c r="J62" s="106">
        <f ca="1">IF($G62&lt;=0,0,E62/(H62*$G62))</f>
        <v>0.60184210526315784</v>
      </c>
      <c r="K62" s="106">
        <f ca="1">IF($G62&lt;=0,0,F62/(I62*$G62))</f>
        <v>0.25140777864142311</v>
      </c>
      <c r="L62" s="130">
        <f>VLOOKUP(B62,'Base Stations Parameters'!$B:$D,3,0)</f>
        <v>0</v>
      </c>
      <c r="M62">
        <f ca="1">ROUNDUP(MAX(E62/H62-G62,F62/I62-G62,0),0)</f>
        <v>0</v>
      </c>
      <c r="N62" s="130">
        <f ca="1">M62*L62</f>
        <v>0</v>
      </c>
      <c r="Q62" s="69" t="s">
        <v>174</v>
      </c>
      <c r="S62" s="125">
        <v>2.5000000000000001E-2</v>
      </c>
      <c r="T62" s="123">
        <f ca="1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)*S62,0)</f>
        <v>2745</v>
      </c>
      <c r="U62" s="122">
        <f ca="1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)*S62</f>
        <v>788.02968442205474</v>
      </c>
      <c r="V62" s="105">
        <f>INDEX('Sites per Region'!$A:$AO, MATCH(Q62,'Sites per Region'!$B:$B,0), MATCH(R$47,'Sites per Region'!$8:$8, 0))</f>
        <v>9.5</v>
      </c>
      <c r="W62" s="105">
        <f>_xlfn.LET(
_xlpm.data,'Base Stations Profiles'!$B:$T,
_xlpm.colSite,INDEX(_xlpm.data,,1),
_xlpm.colData,INDEX(_xlpm.data,,2),
_xlpm.rowRegion,MATCH(Q62,_xlpm.colSite,0),
_xlpm.rowUser,MATCH("Maximum Simultaneously Active Users per Site",_xlfn.DROP(_xlpm.colSite,_xlpm.rowRegion),0),
INDEX(_xlpm.colData,_xlpm.rowRegion+_xlpm.rowUser))</f>
        <v>400</v>
      </c>
      <c r="X62" s="124">
        <f>_xlfn.LET(
    _xlpm.data, 'Base Stations Profiles'!$B:$U,
    _xlpm.colSite, INDEX(_xlpm.data,,1),
    _xlpm.colauto, INDEX(_xlpm.data,,3),
    _xlpm.colData, INDEX(_xlpm.data,,2),
    _xlpm.rowRegion, MATCH(Q62, _xlpm.colSite, 0),
    _xlpm.rowThroughput, MATCH("Maximum Throughput for Downlink per Site", _xlfn.DROP(_xlpm.colSite, _xlpm.rowRegion), 0),
    IF(INDEX(_xlpm.colauto, _xlpm.rowRegion + _xlpm.rowThroughput)='Model Configurator Sup'!$M$4,VLOOKUP(Q62,'Base Stations Parameters'!$B:$T,4,0),INDEX(_xlpm.colData, _xlpm.rowRegion + _xlpm.rowThroughput))
)</f>
        <v>300</v>
      </c>
      <c r="Y62" s="106">
        <f ca="1">IF($V62&lt;=0,0,T62/(W62*$V62))</f>
        <v>0.72236842105263155</v>
      </c>
      <c r="Z62" s="106">
        <f ca="1">IF($V62&lt;=0,0,U62/(X62*$V62))</f>
        <v>0.27650164365686131</v>
      </c>
      <c r="AA62" s="130">
        <f>VLOOKUP(Q62,'Base Stations Parameters'!$B:$S,3,0)</f>
        <v>0</v>
      </c>
      <c r="AB62">
        <f ca="1">ROUNDUP(MAX(T62/W62-V62,U62/X62-V62,0),0)</f>
        <v>0</v>
      </c>
      <c r="AC62" s="130">
        <f ca="1">AB62*AA62</f>
        <v>0</v>
      </c>
      <c r="AF62" s="69" t="s">
        <v>174</v>
      </c>
      <c r="AH62" s="125">
        <v>2.5000000000000001E-2</v>
      </c>
      <c r="AI62" s="123">
        <f ca="1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)*AH62,0)</f>
        <v>4637</v>
      </c>
      <c r="AJ62" s="122">
        <f ca="1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)*AH62</f>
        <v>1058.0021392777574</v>
      </c>
      <c r="AK62" s="105">
        <f>INDEX('Sites per Region'!$A:$BD, MATCH(AF62,'Sites per Region'!$B:$B,0), MATCH(AG$47,'Sites per Region'!$8:$8, 0))</f>
        <v>9.5</v>
      </c>
      <c r="AL62" s="105">
        <f>_xlfn.LET(
_xlpm.data,'Base Stations Profiles'!$B:$AI,
_xlpm.colSite,INDEX(_xlpm.data,,1),
_xlpm.colData,INDEX(_xlpm.data,,2),
_xlpm.rowRegion,MATCH(AF62,_xlpm.colSite,0),
_xlpm.rowUser,MATCH("Maximum Simultaneously Active Users per Site",_xlfn.DROP(_xlpm.colSite,_xlpm.rowRegion),0),
INDEX(_xlpm.colData,_xlpm.rowRegion+_xlpm.rowUser))</f>
        <v>400</v>
      </c>
      <c r="AM62" s="124">
        <f>_xlfn.LET(
    _xlpm.data, 'Base Stations Profiles'!$B:$AJ,
    _xlpm.colSite, INDEX(_xlpm.data,,1),
    _xlpm.colauto, INDEX(_xlpm.data,,3),
    _xlpm.colData, INDEX(_xlpm.data,,2),
    _xlpm.rowRegion, MATCH(AF62, _xlpm.colSite, 0),
    _xlpm.rowThroughput, MATCH("Maximum Throughput for Downlink per Site", _xlfn.DROP(_xlpm.colSite, _xlpm.rowRegion), 0),
    IF(INDEX(_xlpm.colauto, _xlpm.rowRegion + _xlpm.rowThroughput)='Model Configurator Sup'!$M$4,VLOOKUP(AF62,'Base Stations Parameters'!$B:$AI,4,0),INDEX(_xlpm.colData, _xlpm.rowRegion + _xlpm.rowThroughput))
)</f>
        <v>300</v>
      </c>
      <c r="AN62" s="106">
        <f ca="1">IF($AK62&lt;=0,0,AI62/(AL62*$AK62))</f>
        <v>1.2202631578947369</v>
      </c>
      <c r="AO62" s="106">
        <f ca="1">IF($AK62&lt;=0,0,AJ62/(AM62*$AK62))</f>
        <v>0.3712288207992131</v>
      </c>
      <c r="AP62" s="130">
        <f>VLOOKUP(AF62,'Base Stations Parameters'!$B:$AH,3,0)</f>
        <v>0</v>
      </c>
      <c r="AQ62">
        <f ca="1">ROUNDUP(MAX(AI62/AL62-AK62,AJ62/AM62-AK62,0),0)</f>
        <v>3</v>
      </c>
      <c r="AR62" s="130">
        <f ca="1">AQ62*AP62</f>
        <v>0</v>
      </c>
    </row>
    <row r="63" spans="2:44" ht="15" customHeight="1" x14ac:dyDescent="0.25">
      <c r="B63" s="116" t="s">
        <v>182</v>
      </c>
      <c r="D63" s="126">
        <f>SUM(D51:D62)</f>
        <v>1</v>
      </c>
      <c r="E63" s="127">
        <f ca="1">SUM(E51:E62)</f>
        <v>91480</v>
      </c>
      <c r="F63" s="128">
        <f ca="1">SUM(F51:F62)</f>
        <v>28660.486765122234</v>
      </c>
      <c r="H63" s="113"/>
      <c r="I63" s="115"/>
      <c r="L63" s="115"/>
      <c r="M63" s="129">
        <f ca="1">SUM(M51:M62)</f>
        <v>2</v>
      </c>
      <c r="N63" s="131">
        <f ca="1">SUM(N51:N62)</f>
        <v>140000</v>
      </c>
      <c r="Q63" s="116" t="s">
        <v>182</v>
      </c>
      <c r="S63" s="126">
        <f>SUM(S51:S62)</f>
        <v>1</v>
      </c>
      <c r="T63" s="127">
        <f ca="1">SUM(T51:T62)</f>
        <v>109810</v>
      </c>
      <c r="U63" s="128">
        <f ca="1">SUM(U51:U62)</f>
        <v>31521.187376882182</v>
      </c>
      <c r="W63" s="113"/>
      <c r="X63" s="115"/>
      <c r="AA63" s="115"/>
      <c r="AB63" s="129">
        <f ca="1">SUM(AB51:AB62)</f>
        <v>4</v>
      </c>
      <c r="AC63" s="131">
        <f ca="1">SUM(AC51:AC62)</f>
        <v>280000</v>
      </c>
      <c r="AF63" s="116" t="s">
        <v>182</v>
      </c>
      <c r="AH63" s="126">
        <f>SUM(AH51:AH62)</f>
        <v>1</v>
      </c>
      <c r="AI63" s="127">
        <f ca="1">SUM(AI51:AI62)</f>
        <v>185484</v>
      </c>
      <c r="AJ63" s="128">
        <f ca="1">SUM(AJ51:AJ62)</f>
        <v>42320.085571110285</v>
      </c>
      <c r="AL63" s="113"/>
      <c r="AM63" s="115"/>
      <c r="AP63" s="115"/>
      <c r="AQ63" s="129">
        <f ca="1">SUM(AQ51:AQ62)</f>
        <v>42</v>
      </c>
      <c r="AR63" s="131">
        <f ca="1">SUM(AR51:AR62)</f>
        <v>3505000</v>
      </c>
    </row>
    <row r="65" spans="2:44" ht="15" customHeight="1" x14ac:dyDescent="0.25">
      <c r="C65">
        <v>2023</v>
      </c>
      <c r="R65">
        <v>2025</v>
      </c>
      <c r="AG65">
        <v>2030</v>
      </c>
    </row>
    <row r="66" spans="2:44" ht="20.100000000000001" customHeight="1" x14ac:dyDescent="0.25">
      <c r="C66" s="102" t="s">
        <v>13</v>
      </c>
      <c r="R66" s="102" t="s">
        <v>13</v>
      </c>
      <c r="AG66" s="102" t="s">
        <v>13</v>
      </c>
    </row>
    <row r="67" spans="2:44" ht="15" customHeight="1" thickBot="1" x14ac:dyDescent="0.3"/>
    <row r="68" spans="2:44" ht="15" customHeight="1" thickBot="1" x14ac:dyDescent="0.3">
      <c r="B68" s="138" t="s">
        <v>143</v>
      </c>
      <c r="C68" s="117"/>
      <c r="D68" s="152" t="s">
        <v>203</v>
      </c>
      <c r="E68" s="142" t="s">
        <v>218</v>
      </c>
      <c r="F68" s="144"/>
      <c r="G68" s="152" t="s">
        <v>215</v>
      </c>
      <c r="H68" s="142" t="s">
        <v>217</v>
      </c>
      <c r="I68" s="144"/>
      <c r="J68" s="142" t="s">
        <v>184</v>
      </c>
      <c r="K68" s="144"/>
      <c r="L68" s="142" t="s">
        <v>131</v>
      </c>
      <c r="M68" s="143"/>
      <c r="N68" s="144"/>
      <c r="Q68" s="138" t="s">
        <v>143</v>
      </c>
      <c r="R68" s="117"/>
      <c r="S68" s="152" t="s">
        <v>203</v>
      </c>
      <c r="T68" s="142" t="s">
        <v>218</v>
      </c>
      <c r="U68" s="144"/>
      <c r="V68" s="152" t="s">
        <v>215</v>
      </c>
      <c r="W68" s="142" t="s">
        <v>217</v>
      </c>
      <c r="X68" s="144"/>
      <c r="Y68" s="142" t="s">
        <v>184</v>
      </c>
      <c r="Z68" s="144"/>
      <c r="AA68" s="142" t="s">
        <v>131</v>
      </c>
      <c r="AB68" s="143"/>
      <c r="AC68" s="144"/>
      <c r="AF68" s="138" t="s">
        <v>143</v>
      </c>
      <c r="AG68" s="117"/>
      <c r="AH68" s="152" t="s">
        <v>203</v>
      </c>
      <c r="AI68" s="142" t="s">
        <v>218</v>
      </c>
      <c r="AJ68" s="144"/>
      <c r="AK68" s="152" t="s">
        <v>215</v>
      </c>
      <c r="AL68" s="142" t="s">
        <v>217</v>
      </c>
      <c r="AM68" s="144"/>
      <c r="AN68" s="142" t="s">
        <v>184</v>
      </c>
      <c r="AO68" s="144"/>
      <c r="AP68" s="142" t="s">
        <v>131</v>
      </c>
      <c r="AQ68" s="143"/>
      <c r="AR68" s="144"/>
    </row>
    <row r="69" spans="2:44" ht="30.75" customHeight="1" thickBot="1" x14ac:dyDescent="0.3">
      <c r="B69" s="139"/>
      <c r="C69" s="117"/>
      <c r="D69" s="153"/>
      <c r="E69" s="10" t="s">
        <v>185</v>
      </c>
      <c r="F69" s="10" t="s">
        <v>204</v>
      </c>
      <c r="G69" s="153"/>
      <c r="H69" s="10" t="s">
        <v>185</v>
      </c>
      <c r="I69" s="10" t="s">
        <v>204</v>
      </c>
      <c r="J69" s="10" t="s">
        <v>185</v>
      </c>
      <c r="K69" s="10" t="s">
        <v>204</v>
      </c>
      <c r="L69" s="10" t="s">
        <v>243</v>
      </c>
      <c r="M69" s="10" t="s">
        <v>195</v>
      </c>
      <c r="N69" s="10" t="s">
        <v>244</v>
      </c>
      <c r="Q69" s="139"/>
      <c r="R69" s="117"/>
      <c r="S69" s="153"/>
      <c r="T69" s="10" t="s">
        <v>185</v>
      </c>
      <c r="U69" s="10" t="s">
        <v>204</v>
      </c>
      <c r="V69" s="153"/>
      <c r="W69" s="10" t="s">
        <v>185</v>
      </c>
      <c r="X69" s="10" t="s">
        <v>204</v>
      </c>
      <c r="Y69" s="10" t="s">
        <v>185</v>
      </c>
      <c r="Z69" s="10" t="s">
        <v>204</v>
      </c>
      <c r="AA69" s="10" t="s">
        <v>243</v>
      </c>
      <c r="AB69" s="10" t="s">
        <v>195</v>
      </c>
      <c r="AC69" s="10" t="s">
        <v>244</v>
      </c>
      <c r="AF69" s="139"/>
      <c r="AG69" s="117"/>
      <c r="AH69" s="153"/>
      <c r="AI69" s="10" t="s">
        <v>185</v>
      </c>
      <c r="AJ69" s="10" t="s">
        <v>204</v>
      </c>
      <c r="AK69" s="153"/>
      <c r="AL69" s="10" t="s">
        <v>185</v>
      </c>
      <c r="AM69" s="10" t="s">
        <v>204</v>
      </c>
      <c r="AN69" s="10" t="s">
        <v>185</v>
      </c>
      <c r="AO69" s="10" t="s">
        <v>204</v>
      </c>
      <c r="AP69" s="10" t="s">
        <v>243</v>
      </c>
      <c r="AQ69" s="10" t="s">
        <v>195</v>
      </c>
      <c r="AR69" s="10" t="s">
        <v>244</v>
      </c>
    </row>
    <row r="70" spans="2:44" ht="15.75" customHeight="1" thickBot="1" x14ac:dyDescent="0.3">
      <c r="B70" s="69" t="s">
        <v>245</v>
      </c>
      <c r="D70" s="125">
        <v>0.15</v>
      </c>
      <c r="E70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)*D70,0)</f>
        <v>301014</v>
      </c>
      <c r="F70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)*D70</f>
        <v>96463.444083539405</v>
      </c>
      <c r="G70" s="105">
        <f>INDEX('Sites per Region'!$A:$Z, MATCH(B70,'Sites per Region'!$B:$B,0), MATCH(C$66,'Sites per Region'!$8:$8, 0))</f>
        <v>162.5</v>
      </c>
      <c r="H70" s="105">
        <f>_xlfn.LET(
_xlpm.data,'Base Stations Profiles'!$B:$E,
_xlpm.colSite,INDEX(_xlpm.data,,1),
_xlpm.colData,INDEX(_xlpm.data,,2),
_xlpm.rowRegion,MATCH(B70,_xlpm.colSite,0),
_xlpm.rowUser,MATCH("Maximum Simultaneously Active Users per Site",_xlfn.DROP(_xlpm.colSite,_xlpm.rowRegion),0),
INDEX(_xlpm.colData,_xlpm.rowRegion+_xlpm.rowUser))</f>
        <v>2500</v>
      </c>
      <c r="I70" s="124">
        <f>_xlfn.LET(
    _xlpm.data, 'Base Stations Profiles'!$B:$F,
    _xlpm.colSite, INDEX(_xlpm.data,,1),
    _xlpm.colauto, INDEX(_xlpm.data,,3),
    _xlpm.colData, INDEX(_xlpm.data,,2),
    _xlpm.rowRegion, MATCH(B70, _xlpm.colSite, 0),
    _xlpm.rowThroughput, MATCH("Maximum Throughput for Downlink per Site", _xlfn.DROP(_xlpm.colSite, _xlpm.rowRegion), 0),
    IF(INDEX(_xlpm.colauto, _xlpm.rowRegion + _xlpm.rowThroughput)='Model Configurator Sup'!$M$4,VLOOKUP(B70,'Base Stations Parameters'!$B:$E,4,0),INDEX(_xlpm.colData, _xlpm.rowRegion + _xlpm.rowThroughput))
)</f>
        <v>17000</v>
      </c>
      <c r="J70" s="106">
        <f ca="1">IF($G70&lt;=0,0,E70/(H70*$G70))</f>
        <v>0.74095753846153845</v>
      </c>
      <c r="K70" s="106">
        <f ca="1">IF($G70&lt;=0,0,F70/(I70*$G70))</f>
        <v>3.4918893785896618E-2</v>
      </c>
      <c r="L70" s="130">
        <f>VLOOKUP(B70,'Base Stations Parameters'!$B:$D,3,0)</f>
        <v>175000</v>
      </c>
      <c r="M70">
        <f ca="1">ROUNDUP(MAX(E70/H70-G70,F70/I70-G70,0),0)</f>
        <v>0</v>
      </c>
      <c r="N70" s="130">
        <f ca="1">M70*L70</f>
        <v>0</v>
      </c>
      <c r="Q70" s="69" t="s">
        <v>245</v>
      </c>
      <c r="S70" s="125">
        <v>0.15</v>
      </c>
      <c r="T70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)*S70,0)</f>
        <v>362046</v>
      </c>
      <c r="U70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)*S70</f>
        <v>106434.64001171186</v>
      </c>
      <c r="V70" s="105">
        <f>INDEX('Sites per Region'!$A:$AO, MATCH(Q70,'Sites per Region'!$B:$B,0), MATCH(R$66,'Sites per Region'!$8:$8, 0))</f>
        <v>162.5</v>
      </c>
      <c r="W70" s="105">
        <f>_xlfn.LET(
_xlpm.data,'Base Stations Profiles'!$B:$T,
_xlpm.colSite,INDEX(_xlpm.data,,1),
_xlpm.colData,INDEX(_xlpm.data,,2),
_xlpm.rowRegion,MATCH(Q70,_xlpm.colSite,0),
_xlpm.rowUser,MATCH("Maximum Simultaneously Active Users per Site",_xlfn.DROP(_xlpm.colSite,_xlpm.rowRegion),0),
INDEX(_xlpm.colData,_xlpm.rowRegion+_xlpm.rowUser))</f>
        <v>2500</v>
      </c>
      <c r="X70" s="124">
        <f>_xlfn.LET(
    _xlpm.data, 'Base Stations Profiles'!$B:$U,
    _xlpm.colSite, INDEX(_xlpm.data,,1),
    _xlpm.colauto, INDEX(_xlpm.data,,3),
    _xlpm.colData, INDEX(_xlpm.data,,2),
    _xlpm.rowRegion, MATCH(Q70, _xlpm.colSite, 0),
    _xlpm.rowThroughput, MATCH("Maximum Throughput for Downlink per Site", _xlfn.DROP(_xlpm.colSite, _xlpm.rowRegion), 0),
    IF(INDEX(_xlpm.colauto, _xlpm.rowRegion + _xlpm.rowThroughput)='Model Configurator Sup'!$M$4,VLOOKUP(Q70,'Base Stations Parameters'!$B:$T,4,0),INDEX(_xlpm.colData, _xlpm.rowRegion + _xlpm.rowThroughput))
)</f>
        <v>17000</v>
      </c>
      <c r="Y70" s="106">
        <f ca="1">IF($V70&lt;=0,0,T70/(W70*$V70))</f>
        <v>0.89119015384615385</v>
      </c>
      <c r="Z70" s="106">
        <f ca="1">IF($V70&lt;=0,0,U70/(X70*$V70))</f>
        <v>3.8528376474827826E-2</v>
      </c>
      <c r="AA70" s="130">
        <f>VLOOKUP(Q70,'Base Stations Parameters'!$B:$S,3,0)</f>
        <v>175000</v>
      </c>
      <c r="AB70">
        <f ca="1">ROUNDUP(MAX(T70/W70-V70,U70/X70-V70,0),0)</f>
        <v>0</v>
      </c>
      <c r="AC70" s="130">
        <f ca="1">AB70*AA70</f>
        <v>0</v>
      </c>
      <c r="AF70" s="69" t="s">
        <v>245</v>
      </c>
      <c r="AH70" s="125">
        <v>0.15</v>
      </c>
      <c r="AI70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)*AH70,0)</f>
        <v>614599</v>
      </c>
      <c r="AJ70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)*AH70</f>
        <v>144371.05434510391</v>
      </c>
      <c r="AK70" s="105">
        <f>INDEX('Sites per Region'!$A:$BD, MATCH(AF70,'Sites per Region'!$B:$B,0), MATCH(AG$66,'Sites per Region'!$8:$8, 0))</f>
        <v>162.5</v>
      </c>
      <c r="AL70" s="105">
        <f>_xlfn.LET(
_xlpm.data,'Base Stations Profiles'!$B:$AI,
_xlpm.colSite,INDEX(_xlpm.data,,1),
_xlpm.colData,INDEX(_xlpm.data,,2),
_xlpm.rowRegion,MATCH(AF70,_xlpm.colSite,0),
_xlpm.rowUser,MATCH("Maximum Simultaneously Active Users per Site",_xlfn.DROP(_xlpm.colSite,_xlpm.rowRegion),0),
INDEX(_xlpm.colData,_xlpm.rowRegion+_xlpm.rowUser))</f>
        <v>2500</v>
      </c>
      <c r="AM70" s="124">
        <f>_xlfn.LET(
    _xlpm.data, 'Base Stations Profiles'!$B:$AJ,
    _xlpm.colSite, INDEX(_xlpm.data,,1),
    _xlpm.colauto, INDEX(_xlpm.data,,3),
    _xlpm.colData, INDEX(_xlpm.data,,2),
    _xlpm.rowRegion, MATCH(AF70, _xlpm.colSite, 0),
    _xlpm.rowThroughput, MATCH("Maximum Throughput for Downlink per Site", _xlfn.DROP(_xlpm.colSite, _xlpm.rowRegion), 0),
    IF(INDEX(_xlpm.colauto, _xlpm.rowRegion + _xlpm.rowThroughput)='Model Configurator Sup'!$M$4,VLOOKUP(AF70,'Base Stations Parameters'!$B:$AI,4,0),INDEX(_xlpm.colData, _xlpm.rowRegion + _xlpm.rowThroughput))
)</f>
        <v>17000</v>
      </c>
      <c r="AN70" s="106">
        <f ca="1">IF($AK70&lt;=0,0,AI70/(AL70*$AK70))</f>
        <v>1.512859076923077</v>
      </c>
      <c r="AO70" s="106">
        <f ca="1">IF($AK70&lt;=0,0,AJ70/(AM70*$AK70))</f>
        <v>5.2261015147548925E-2</v>
      </c>
      <c r="AP70" s="130">
        <f>VLOOKUP(AF70,'Base Stations Parameters'!$B:$AH,3,0)</f>
        <v>175000</v>
      </c>
      <c r="AQ70">
        <f ca="1">ROUNDUP(MAX(AI70/AL70-AK70,AJ70/AM70-AK70,0),0)</f>
        <v>84</v>
      </c>
      <c r="AR70" s="130">
        <f ca="1">AQ70*AP70</f>
        <v>14700000</v>
      </c>
    </row>
    <row r="71" spans="2:44" ht="15.75" customHeight="1" thickBot="1" x14ac:dyDescent="0.3">
      <c r="B71" s="69" t="s">
        <v>169</v>
      </c>
      <c r="D71" s="125">
        <v>0.15</v>
      </c>
      <c r="E71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)*D71,0)</f>
        <v>301014</v>
      </c>
      <c r="F71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)*D71</f>
        <v>96463.444083539405</v>
      </c>
      <c r="G71" s="105">
        <f>INDEX('Sites per Region'!$A:$Z, MATCH(B71,'Sites per Region'!$B:$B,0), MATCH(C$66,'Sites per Region'!$8:$8, 0))</f>
        <v>162.5</v>
      </c>
      <c r="H71" s="105">
        <f>_xlfn.LET(
_xlpm.data,'Base Stations Profiles'!$B:$E,
_xlpm.colSite,INDEX(_xlpm.data,,1),
_xlpm.colData,INDEX(_xlpm.data,,2),
_xlpm.rowRegion,MATCH(B71,_xlpm.colSite,0),
_xlpm.rowUser,MATCH("Maximum Simultaneously Active Users per Site",_xlfn.DROP(_xlpm.colSite,_xlpm.rowRegion),0),
INDEX(_xlpm.colData,_xlpm.rowRegion+_xlpm.rowUser))</f>
        <v>2500</v>
      </c>
      <c r="I71" s="124">
        <f>_xlfn.LET(
    _xlpm.data, 'Base Stations Profiles'!$B:$F,
    _xlpm.colSite, INDEX(_xlpm.data,,1),
    _xlpm.colauto, INDEX(_xlpm.data,,3),
    _xlpm.colData, INDEX(_xlpm.data,,2),
    _xlpm.rowRegion, MATCH(B71, _xlpm.colSite, 0),
    _xlpm.rowThroughput, MATCH("Maximum Throughput for Downlink per Site", _xlfn.DROP(_xlpm.colSite, _xlpm.rowRegion), 0),
    IF(INDEX(_xlpm.colauto, _xlpm.rowRegion + _xlpm.rowThroughput)='Model Configurator Sup'!$M$4,VLOOKUP(B71,'Base Stations Parameters'!$B:$E,4,0),INDEX(_xlpm.colData, _xlpm.rowRegion + _xlpm.rowThroughput))
)</f>
        <v>17000</v>
      </c>
      <c r="J71" s="106">
        <f ca="1">IF($G71&lt;=0,0,E71/(H71*$G71))</f>
        <v>0.74095753846153845</v>
      </c>
      <c r="K71" s="106">
        <f ca="1">IF($G71&lt;=0,0,F71/(I71*$G71))</f>
        <v>3.4918893785896618E-2</v>
      </c>
      <c r="L71" s="130">
        <f>VLOOKUP(B71,'Base Stations Parameters'!$B:$D,3,0)</f>
        <v>145000</v>
      </c>
      <c r="M71">
        <f ca="1">ROUNDUP(MAX(E71/H71-G71,F71/I71-G71,0),0)</f>
        <v>0</v>
      </c>
      <c r="N71" s="130">
        <f ca="1">M71*L71</f>
        <v>0</v>
      </c>
      <c r="Q71" s="69" t="s">
        <v>169</v>
      </c>
      <c r="S71" s="125">
        <v>0.15</v>
      </c>
      <c r="T71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)*S71,0)</f>
        <v>362046</v>
      </c>
      <c r="U71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)*S71</f>
        <v>106434.64001171186</v>
      </c>
      <c r="V71" s="105">
        <f>INDEX('Sites per Region'!$A:$AO, MATCH(Q71,'Sites per Region'!$B:$B,0), MATCH(R$66,'Sites per Region'!$8:$8, 0))</f>
        <v>162.5</v>
      </c>
      <c r="W71" s="105">
        <f>_xlfn.LET(
_xlpm.data,'Base Stations Profiles'!$B:$T,
_xlpm.colSite,INDEX(_xlpm.data,,1),
_xlpm.colData,INDEX(_xlpm.data,,2),
_xlpm.rowRegion,MATCH(Q71,_xlpm.colSite,0),
_xlpm.rowUser,MATCH("Maximum Simultaneously Active Users per Site",_xlfn.DROP(_xlpm.colSite,_xlpm.rowRegion),0),
INDEX(_xlpm.colData,_xlpm.rowRegion+_xlpm.rowUser))</f>
        <v>2500</v>
      </c>
      <c r="X71" s="124">
        <f>_xlfn.LET(
    _xlpm.data, 'Base Stations Profiles'!$B:$U,
    _xlpm.colSite, INDEX(_xlpm.data,,1),
    _xlpm.colauto, INDEX(_xlpm.data,,3),
    _xlpm.colData, INDEX(_xlpm.data,,2),
    _xlpm.rowRegion, MATCH(Q71, _xlpm.colSite, 0),
    _xlpm.rowThroughput, MATCH("Maximum Throughput for Downlink per Site", _xlfn.DROP(_xlpm.colSite, _xlpm.rowRegion), 0),
    IF(INDEX(_xlpm.colauto, _xlpm.rowRegion + _xlpm.rowThroughput)='Model Configurator Sup'!$M$4,VLOOKUP(Q71,'Base Stations Parameters'!$B:$T,4,0),INDEX(_xlpm.colData, _xlpm.rowRegion + _xlpm.rowThroughput))
)</f>
        <v>17000</v>
      </c>
      <c r="Y71" s="106">
        <f ca="1">IF($V71&lt;=0,0,T71/(W71*$V71))</f>
        <v>0.89119015384615385</v>
      </c>
      <c r="Z71" s="106">
        <f ca="1">IF($V71&lt;=0,0,U71/(X71*$V71))</f>
        <v>3.8528376474827826E-2</v>
      </c>
      <c r="AA71" s="130">
        <f>VLOOKUP(Q71,'Base Stations Parameters'!$B:$S,3,0)</f>
        <v>145000</v>
      </c>
      <c r="AB71">
        <f ca="1">ROUNDUP(MAX(T71/W71-V71,U71/X71-V71,0),0)</f>
        <v>0</v>
      </c>
      <c r="AC71" s="130">
        <f ca="1">AB71*AA71</f>
        <v>0</v>
      </c>
      <c r="AF71" s="69" t="s">
        <v>169</v>
      </c>
      <c r="AH71" s="125">
        <v>0.15</v>
      </c>
      <c r="AI71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)*AH71,0)</f>
        <v>614599</v>
      </c>
      <c r="AJ71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)*AH71</f>
        <v>144371.05434510391</v>
      </c>
      <c r="AK71" s="105">
        <f>INDEX('Sites per Region'!$A:$BD, MATCH(AF71,'Sites per Region'!$B:$B,0), MATCH(AG$66,'Sites per Region'!$8:$8, 0))</f>
        <v>162.5</v>
      </c>
      <c r="AL71" s="105">
        <f>_xlfn.LET(
_xlpm.data,'Base Stations Profiles'!$B:$AI,
_xlpm.colSite,INDEX(_xlpm.data,,1),
_xlpm.colData,INDEX(_xlpm.data,,2),
_xlpm.rowRegion,MATCH(AF71,_xlpm.colSite,0),
_xlpm.rowUser,MATCH("Maximum Simultaneously Active Users per Site",_xlfn.DROP(_xlpm.colSite,_xlpm.rowRegion),0),
INDEX(_xlpm.colData,_xlpm.rowRegion+_xlpm.rowUser))</f>
        <v>2500</v>
      </c>
      <c r="AM71" s="124">
        <f>_xlfn.LET(
    _xlpm.data, 'Base Stations Profiles'!$B:$AJ,
    _xlpm.colSite, INDEX(_xlpm.data,,1),
    _xlpm.colauto, INDEX(_xlpm.data,,3),
    _xlpm.colData, INDEX(_xlpm.data,,2),
    _xlpm.rowRegion, MATCH(AF71, _xlpm.colSite, 0),
    _xlpm.rowThroughput, MATCH("Maximum Throughput for Downlink per Site", _xlfn.DROP(_xlpm.colSite, _xlpm.rowRegion), 0),
    IF(INDEX(_xlpm.colauto, _xlpm.rowRegion + _xlpm.rowThroughput)='Model Configurator Sup'!$M$4,VLOOKUP(AF71,'Base Stations Parameters'!$B:$AI,4,0),INDEX(_xlpm.colData, _xlpm.rowRegion + _xlpm.rowThroughput))
)</f>
        <v>17000</v>
      </c>
      <c r="AN71" s="106">
        <f ca="1">IF($AK71&lt;=0,0,AI71/(AL71*$AK71))</f>
        <v>1.512859076923077</v>
      </c>
      <c r="AO71" s="106">
        <f ca="1">IF($AK71&lt;=0,0,AJ71/(AM71*$AK71))</f>
        <v>5.2261015147548925E-2</v>
      </c>
      <c r="AP71" s="130">
        <f>VLOOKUP(AF71,'Base Stations Parameters'!$B:$AH,3,0)</f>
        <v>145000</v>
      </c>
      <c r="AQ71">
        <f ca="1">ROUNDUP(MAX(AI71/AL71-AK71,AJ71/AM71-AK71,0),0)</f>
        <v>84</v>
      </c>
      <c r="AR71" s="130">
        <f ca="1">AQ71*AP71</f>
        <v>12180000</v>
      </c>
    </row>
    <row r="72" spans="2:44" ht="15.75" customHeight="1" thickBot="1" x14ac:dyDescent="0.3">
      <c r="B72" s="69" t="s">
        <v>246</v>
      </c>
      <c r="D72" s="125">
        <v>0.15</v>
      </c>
      <c r="E72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)*D72,0)</f>
        <v>301014</v>
      </c>
      <c r="F72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)*D72</f>
        <v>96463.444083539405</v>
      </c>
      <c r="G72" s="105">
        <f>INDEX('Sites per Region'!$A:$Z, MATCH(B72,'Sites per Region'!$B:$B,0), MATCH(C$66,'Sites per Region'!$8:$8, 0))</f>
        <v>91</v>
      </c>
      <c r="H72" s="105">
        <f>_xlfn.LET(
_xlpm.data,'Base Stations Profiles'!$B:$E,
_xlpm.colSite,INDEX(_xlpm.data,,1),
_xlpm.colData,INDEX(_xlpm.data,,2),
_xlpm.rowRegion,MATCH(B72,_xlpm.colSite,0),
_xlpm.rowUser,MATCH("Maximum Simultaneously Active Users per Site",_xlfn.DROP(_xlpm.colSite,_xlpm.rowRegion),0),
INDEX(_xlpm.colData,_xlpm.rowRegion+_xlpm.rowUser))</f>
        <v>1500</v>
      </c>
      <c r="I72" s="124">
        <f>_xlfn.LET(
    _xlpm.data, 'Base Stations Profiles'!$B:$F,
    _xlpm.colSite, INDEX(_xlpm.data,,1),
    _xlpm.colauto, INDEX(_xlpm.data,,3),
    _xlpm.colData, INDEX(_xlpm.data,,2),
    _xlpm.rowRegion, MATCH(B72, _xlpm.colSite, 0),
    _xlpm.rowThroughput, MATCH("Maximum Throughput for Downlink per Site", _xlfn.DROP(_xlpm.colSite, _xlpm.rowRegion), 0),
    IF(INDEX(_xlpm.colauto, _xlpm.rowRegion + _xlpm.rowThroughput)='Model Configurator Sup'!$M$4,VLOOKUP(B72,'Base Stations Parameters'!$B:$E,4,0),INDEX(_xlpm.colData, _xlpm.rowRegion + _xlpm.rowThroughput))
)</f>
        <v>12000</v>
      </c>
      <c r="J72" s="106">
        <f ca="1">IF($G72&lt;=0,0,E72/(H72*$G72))</f>
        <v>2.2052307692307691</v>
      </c>
      <c r="K72" s="106">
        <f ca="1">IF($G72&lt;=0,0,F72/(I72*$G72))</f>
        <v>8.8336487255988472E-2</v>
      </c>
      <c r="L72" s="130">
        <f>VLOOKUP(B72,'Base Stations Parameters'!$B:$D,3,0)</f>
        <v>145000</v>
      </c>
      <c r="M72">
        <f ca="1">ROUNDUP(MAX(E72/H72-G72,F72/I72-G72,0),0)</f>
        <v>110</v>
      </c>
      <c r="N72" s="130">
        <f ca="1">M72*L72</f>
        <v>15950000</v>
      </c>
      <c r="Q72" s="69" t="s">
        <v>246</v>
      </c>
      <c r="S72" s="125">
        <v>0.15</v>
      </c>
      <c r="T72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)*S72,0)</f>
        <v>362046</v>
      </c>
      <c r="U72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)*S72</f>
        <v>106434.64001171186</v>
      </c>
      <c r="V72" s="105">
        <f>INDEX('Sites per Region'!$A:$AO, MATCH(Q72,'Sites per Region'!$B:$B,0), MATCH(R$66,'Sites per Region'!$8:$8, 0))</f>
        <v>91</v>
      </c>
      <c r="W72" s="105">
        <f>_xlfn.LET(
_xlpm.data,'Base Stations Profiles'!$B:$T,
_xlpm.colSite,INDEX(_xlpm.data,,1),
_xlpm.colData,INDEX(_xlpm.data,,2),
_xlpm.rowRegion,MATCH(Q72,_xlpm.colSite,0),
_xlpm.rowUser,MATCH("Maximum Simultaneously Active Users per Site",_xlfn.DROP(_xlpm.colSite,_xlpm.rowRegion),0),
INDEX(_xlpm.colData,_xlpm.rowRegion+_xlpm.rowUser))</f>
        <v>1500</v>
      </c>
      <c r="X72" s="124">
        <f>_xlfn.LET(
    _xlpm.data, 'Base Stations Profiles'!$B:$U,
    _xlpm.colSite, INDEX(_xlpm.data,,1),
    _xlpm.colauto, INDEX(_xlpm.data,,3),
    _xlpm.colData, INDEX(_xlpm.data,,2),
    _xlpm.rowRegion, MATCH(Q72, _xlpm.colSite, 0),
    _xlpm.rowThroughput, MATCH("Maximum Throughput for Downlink per Site", _xlfn.DROP(_xlpm.colSite, _xlpm.rowRegion), 0),
    IF(INDEX(_xlpm.colauto, _xlpm.rowRegion + _xlpm.rowThroughput)='Model Configurator Sup'!$M$4,VLOOKUP(Q72,'Base Stations Parameters'!$B:$T,4,0),INDEX(_xlpm.colData, _xlpm.rowRegion + _xlpm.rowThroughput))
)</f>
        <v>12000</v>
      </c>
      <c r="Y72" s="106">
        <f ca="1">IF($V72&lt;=0,0,T72/(W72*$V72))</f>
        <v>2.6523516483516483</v>
      </c>
      <c r="Z72" s="106">
        <f ca="1">IF($V72&lt;=0,0,U72/(X72*$V72))</f>
        <v>9.7467619058344196E-2</v>
      </c>
      <c r="AA72" s="130">
        <f>VLOOKUP(Q72,'Base Stations Parameters'!$B:$S,3,0)</f>
        <v>145000</v>
      </c>
      <c r="AB72">
        <f ca="1">ROUNDUP(MAX(T72/W72-V72,U72/X72-V72,0),0)</f>
        <v>151</v>
      </c>
      <c r="AC72" s="130">
        <f ca="1">AB72*AA72</f>
        <v>21895000</v>
      </c>
      <c r="AF72" s="69" t="s">
        <v>246</v>
      </c>
      <c r="AH72" s="125">
        <v>0.15</v>
      </c>
      <c r="AI72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)*AH72,0)</f>
        <v>614599</v>
      </c>
      <c r="AJ72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)*AH72</f>
        <v>144371.05434510391</v>
      </c>
      <c r="AK72" s="105">
        <f>INDEX('Sites per Region'!$A:$BD, MATCH(AF72,'Sites per Region'!$B:$B,0), MATCH(AG$66,'Sites per Region'!$8:$8, 0))</f>
        <v>91</v>
      </c>
      <c r="AL72" s="105">
        <f>_xlfn.LET(
_xlpm.data,'Base Stations Profiles'!$B:$AI,
_xlpm.colSite,INDEX(_xlpm.data,,1),
_xlpm.colData,INDEX(_xlpm.data,,2),
_xlpm.rowRegion,MATCH(AF72,_xlpm.colSite,0),
_xlpm.rowUser,MATCH("Maximum Simultaneously Active Users per Site",_xlfn.DROP(_xlpm.colSite,_xlpm.rowRegion),0),
INDEX(_xlpm.colData,_xlpm.rowRegion+_xlpm.rowUser))</f>
        <v>1500</v>
      </c>
      <c r="AM72" s="124">
        <f>_xlfn.LET(
    _xlpm.data, 'Base Stations Profiles'!$B:$AJ,
    _xlpm.colSite, INDEX(_xlpm.data,,1),
    _xlpm.colauto, INDEX(_xlpm.data,,3),
    _xlpm.colData, INDEX(_xlpm.data,,2),
    _xlpm.rowRegion, MATCH(AF72, _xlpm.colSite, 0),
    _xlpm.rowThroughput, MATCH("Maximum Throughput for Downlink per Site", _xlfn.DROP(_xlpm.colSite, _xlpm.rowRegion), 0),
    IF(INDEX(_xlpm.colauto, _xlpm.rowRegion + _xlpm.rowThroughput)='Model Configurator Sup'!$M$4,VLOOKUP(AF72,'Base Stations Parameters'!$B:$AI,4,0),INDEX(_xlpm.colData, _xlpm.rowRegion + _xlpm.rowThroughput))
)</f>
        <v>12000</v>
      </c>
      <c r="AN72" s="106">
        <f ca="1">IF($AK72&lt;=0,0,AI72/(AL72*$AK72))</f>
        <v>4.5025567765567764</v>
      </c>
      <c r="AO72" s="106">
        <f ca="1">IF($AK72&lt;=0,0,AJ72/(AM72*$AK72))</f>
        <v>0.13220792522445413</v>
      </c>
      <c r="AP72" s="130">
        <f>VLOOKUP(AF72,'Base Stations Parameters'!$B:$AH,3,0)</f>
        <v>145000</v>
      </c>
      <c r="AQ72">
        <f ca="1">ROUNDUP(MAX(AI72/AL72-AK72,AJ72/AM72-AK72,0),0)</f>
        <v>319</v>
      </c>
      <c r="AR72" s="130">
        <f ca="1">AQ72*AP72</f>
        <v>46255000</v>
      </c>
    </row>
    <row r="73" spans="2:44" ht="15.75" customHeight="1" thickBot="1" x14ac:dyDescent="0.3">
      <c r="B73" s="69" t="s">
        <v>170</v>
      </c>
      <c r="D73" s="125">
        <v>0.15</v>
      </c>
      <c r="E73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)*D73,0)</f>
        <v>301014</v>
      </c>
      <c r="F73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)*D73</f>
        <v>96463.444083539405</v>
      </c>
      <c r="G73" s="105">
        <f>INDEX('Sites per Region'!$A:$Z, MATCH(B73,'Sites per Region'!$B:$B,0), MATCH(C$66,'Sites per Region'!$8:$8, 0))</f>
        <v>91</v>
      </c>
      <c r="H73" s="105">
        <f>_xlfn.LET(
_xlpm.data,'Base Stations Profiles'!$B:$E,
_xlpm.colSite,INDEX(_xlpm.data,,1),
_xlpm.colData,INDEX(_xlpm.data,,2),
_xlpm.rowRegion,MATCH(B73,_xlpm.colSite,0),
_xlpm.rowUser,MATCH("Maximum Simultaneously Active Users per Site",_xlfn.DROP(_xlpm.colSite,_xlpm.rowRegion),0),
INDEX(_xlpm.colData,_xlpm.rowRegion+_xlpm.rowUser))</f>
        <v>1500</v>
      </c>
      <c r="I73" s="124">
        <f>_xlfn.LET(
    _xlpm.data, 'Base Stations Profiles'!$B:$F,
    _xlpm.colSite, INDEX(_xlpm.data,,1),
    _xlpm.colauto, INDEX(_xlpm.data,,3),
    _xlpm.colData, INDEX(_xlpm.data,,2),
    _xlpm.rowRegion, MATCH(B73, _xlpm.colSite, 0),
    _xlpm.rowThroughput, MATCH("Maximum Throughput for Downlink per Site", _xlfn.DROP(_xlpm.colSite, _xlpm.rowRegion), 0),
    IF(INDEX(_xlpm.colauto, _xlpm.rowRegion + _xlpm.rowThroughput)='Model Configurator Sup'!$M$4,VLOOKUP(B73,'Base Stations Parameters'!$B:$E,4,0),INDEX(_xlpm.colData, _xlpm.rowRegion + _xlpm.rowThroughput))
)</f>
        <v>12000</v>
      </c>
      <c r="J73" s="106">
        <f ca="1">IF($G73&lt;=0,0,E73/(H73*$G73))</f>
        <v>2.2052307692307691</v>
      </c>
      <c r="K73" s="106">
        <f ca="1">IF($G73&lt;=0,0,F73/(I73*$G73))</f>
        <v>8.8336487255988472E-2</v>
      </c>
      <c r="L73" s="130">
        <f>VLOOKUP(B73,'Base Stations Parameters'!$B:$D,3,0)</f>
        <v>100000</v>
      </c>
      <c r="M73">
        <f ca="1">ROUNDUP(MAX(E73/H73-G73,F73/I73-G73,0),0)</f>
        <v>110</v>
      </c>
      <c r="N73" s="130">
        <f ca="1">M73*L73</f>
        <v>11000000</v>
      </c>
      <c r="Q73" s="69" t="s">
        <v>170</v>
      </c>
      <c r="S73" s="125">
        <v>0.15</v>
      </c>
      <c r="T73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)*S73,0)</f>
        <v>362046</v>
      </c>
      <c r="U73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)*S73</f>
        <v>106434.64001171186</v>
      </c>
      <c r="V73" s="105">
        <f>INDEX('Sites per Region'!$A:$AO, MATCH(Q73,'Sites per Region'!$B:$B,0), MATCH(R$66,'Sites per Region'!$8:$8, 0))</f>
        <v>91</v>
      </c>
      <c r="W73" s="105">
        <f>_xlfn.LET(
_xlpm.data,'Base Stations Profiles'!$B:$T,
_xlpm.colSite,INDEX(_xlpm.data,,1),
_xlpm.colData,INDEX(_xlpm.data,,2),
_xlpm.rowRegion,MATCH(Q73,_xlpm.colSite,0),
_xlpm.rowUser,MATCH("Maximum Simultaneously Active Users per Site",_xlfn.DROP(_xlpm.colSite,_xlpm.rowRegion),0),
INDEX(_xlpm.colData,_xlpm.rowRegion+_xlpm.rowUser))</f>
        <v>1500</v>
      </c>
      <c r="X73" s="124">
        <f>_xlfn.LET(
    _xlpm.data, 'Base Stations Profiles'!$B:$U,
    _xlpm.colSite, INDEX(_xlpm.data,,1),
    _xlpm.colauto, INDEX(_xlpm.data,,3),
    _xlpm.colData, INDEX(_xlpm.data,,2),
    _xlpm.rowRegion, MATCH(Q73, _xlpm.colSite, 0),
    _xlpm.rowThroughput, MATCH("Maximum Throughput for Downlink per Site", _xlfn.DROP(_xlpm.colSite, _xlpm.rowRegion), 0),
    IF(INDEX(_xlpm.colauto, _xlpm.rowRegion + _xlpm.rowThroughput)='Model Configurator Sup'!$M$4,VLOOKUP(Q73,'Base Stations Parameters'!$B:$T,4,0),INDEX(_xlpm.colData, _xlpm.rowRegion + _xlpm.rowThroughput))
)</f>
        <v>12000</v>
      </c>
      <c r="Y73" s="106">
        <f ca="1">IF($V73&lt;=0,0,T73/(W73*$V73))</f>
        <v>2.6523516483516483</v>
      </c>
      <c r="Z73" s="106">
        <f ca="1">IF($V73&lt;=0,0,U73/(X73*$V73))</f>
        <v>9.7467619058344196E-2</v>
      </c>
      <c r="AA73" s="130">
        <f>VLOOKUP(Q73,'Base Stations Parameters'!$B:$S,3,0)</f>
        <v>100000</v>
      </c>
      <c r="AB73">
        <f ca="1">ROUNDUP(MAX(T73/W73-V73,U73/X73-V73,0),0)</f>
        <v>151</v>
      </c>
      <c r="AC73" s="130">
        <f ca="1">AB73*AA73</f>
        <v>15100000</v>
      </c>
      <c r="AF73" s="69" t="s">
        <v>170</v>
      </c>
      <c r="AH73" s="125">
        <v>0.15</v>
      </c>
      <c r="AI73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)*AH73,0)</f>
        <v>614599</v>
      </c>
      <c r="AJ73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)*AH73</f>
        <v>144371.05434510391</v>
      </c>
      <c r="AK73" s="105">
        <f>INDEX('Sites per Region'!$A:$BD, MATCH(AF73,'Sites per Region'!$B:$B,0), MATCH(AG$66,'Sites per Region'!$8:$8, 0))</f>
        <v>91</v>
      </c>
      <c r="AL73" s="105">
        <f>_xlfn.LET(
_xlpm.data,'Base Stations Profiles'!$B:$AI,
_xlpm.colSite,INDEX(_xlpm.data,,1),
_xlpm.colData,INDEX(_xlpm.data,,2),
_xlpm.rowRegion,MATCH(AF73,_xlpm.colSite,0),
_xlpm.rowUser,MATCH("Maximum Simultaneously Active Users per Site",_xlfn.DROP(_xlpm.colSite,_xlpm.rowRegion),0),
INDEX(_xlpm.colData,_xlpm.rowRegion+_xlpm.rowUser))</f>
        <v>1500</v>
      </c>
      <c r="AM73" s="124">
        <f>_xlfn.LET(
    _xlpm.data, 'Base Stations Profiles'!$B:$AJ,
    _xlpm.colSite, INDEX(_xlpm.data,,1),
    _xlpm.colauto, INDEX(_xlpm.data,,3),
    _xlpm.colData, INDEX(_xlpm.data,,2),
    _xlpm.rowRegion, MATCH(AF73, _xlpm.colSite, 0),
    _xlpm.rowThroughput, MATCH("Maximum Throughput for Downlink per Site", _xlfn.DROP(_xlpm.colSite, _xlpm.rowRegion), 0),
    IF(INDEX(_xlpm.colauto, _xlpm.rowRegion + _xlpm.rowThroughput)='Model Configurator Sup'!$M$4,VLOOKUP(AF73,'Base Stations Parameters'!$B:$AI,4,0),INDEX(_xlpm.colData, _xlpm.rowRegion + _xlpm.rowThroughput))
)</f>
        <v>12000</v>
      </c>
      <c r="AN73" s="106">
        <f ca="1">IF($AK73&lt;=0,0,AI73/(AL73*$AK73))</f>
        <v>4.5025567765567764</v>
      </c>
      <c r="AO73" s="106">
        <f ca="1">IF($AK73&lt;=0,0,AJ73/(AM73*$AK73))</f>
        <v>0.13220792522445413</v>
      </c>
      <c r="AP73" s="130">
        <f>VLOOKUP(AF73,'Base Stations Parameters'!$B:$AH,3,0)</f>
        <v>100000</v>
      </c>
      <c r="AQ73">
        <f ca="1">ROUNDUP(MAX(AI73/AL73-AK73,AJ73/AM73-AK73,0),0)</f>
        <v>319</v>
      </c>
      <c r="AR73" s="130">
        <f ca="1">AQ73*AP73</f>
        <v>31900000</v>
      </c>
    </row>
    <row r="74" spans="2:44" ht="15.75" customHeight="1" thickBot="1" x14ac:dyDescent="0.3">
      <c r="B74" s="69" t="s">
        <v>247</v>
      </c>
      <c r="D74" s="125">
        <v>7.4999999999999997E-2</v>
      </c>
      <c r="E74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)*D74,0)</f>
        <v>150507</v>
      </c>
      <c r="F74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)*D74</f>
        <v>48231.722041769703</v>
      </c>
      <c r="G74" s="105">
        <f>INDEX('Sites per Region'!$A:$Z, MATCH(B74,'Sites per Region'!$B:$B,0), MATCH(C$66,'Sites per Region'!$8:$8, 0))</f>
        <v>68</v>
      </c>
      <c r="H74" s="105">
        <f>_xlfn.LET(
_xlpm.data,'Base Stations Profiles'!$B:$E,
_xlpm.colSite,INDEX(_xlpm.data,,1),
_xlpm.colData,INDEX(_xlpm.data,,2),
_xlpm.rowRegion,MATCH(B74,_xlpm.colSite,0),
_xlpm.rowUser,MATCH("Maximum Simultaneously Active Users per Site",_xlfn.DROP(_xlpm.colSite,_xlpm.rowRegion),0),
INDEX(_xlpm.colData,_xlpm.rowRegion+_xlpm.rowUser))</f>
        <v>750</v>
      </c>
      <c r="I74" s="124">
        <f>_xlfn.LET(
    _xlpm.data, 'Base Stations Profiles'!$B:$F,
    _xlpm.colSite, INDEX(_xlpm.data,,1),
    _xlpm.colauto, INDEX(_xlpm.data,,3),
    _xlpm.colData, INDEX(_xlpm.data,,2),
    _xlpm.rowRegion, MATCH(B74, _xlpm.colSite, 0),
    _xlpm.rowThroughput, MATCH("Maximum Throughput for Downlink per Site", _xlfn.DROP(_xlpm.colSite, _xlpm.rowRegion), 0),
    IF(INDEX(_xlpm.colauto, _xlpm.rowRegion + _xlpm.rowThroughput)='Model Configurator Sup'!$M$4,VLOOKUP(B74,'Base Stations Parameters'!$B:$E,4,0),INDEX(_xlpm.colData, _xlpm.rowRegion + _xlpm.rowThroughput))
)</f>
        <v>5000</v>
      </c>
      <c r="J74" s="106">
        <f ca="1">IF($G74&lt;=0,0,E74/(H74*$G74))</f>
        <v>2.9511176470588234</v>
      </c>
      <c r="K74" s="106">
        <f ca="1">IF($G74&lt;=0,0,F74/(I74*$G74))</f>
        <v>0.14185800600520501</v>
      </c>
      <c r="L74" s="130">
        <f>VLOOKUP(B74,'Base Stations Parameters'!$B:$D,3,0)</f>
        <v>100000</v>
      </c>
      <c r="M74">
        <f ca="1">ROUNDUP(MAX(E74/H74-G74,F74/I74-G74,0),0)</f>
        <v>133</v>
      </c>
      <c r="N74" s="130">
        <f ca="1">M74*L74</f>
        <v>13300000</v>
      </c>
      <c r="Q74" s="69" t="s">
        <v>247</v>
      </c>
      <c r="S74" s="125">
        <v>7.4999999999999997E-2</v>
      </c>
      <c r="T74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)*S74,0)</f>
        <v>181023</v>
      </c>
      <c r="U74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)*S74</f>
        <v>53217.320005855931</v>
      </c>
      <c r="V74" s="105">
        <f>INDEX('Sites per Region'!$A:$AO, MATCH(Q74,'Sites per Region'!$B:$B,0), MATCH(R$66,'Sites per Region'!$8:$8, 0))</f>
        <v>68</v>
      </c>
      <c r="W74" s="105">
        <f>_xlfn.LET(
_xlpm.data,'Base Stations Profiles'!$B:$T,
_xlpm.colSite,INDEX(_xlpm.data,,1),
_xlpm.colData,INDEX(_xlpm.data,,2),
_xlpm.rowRegion,MATCH(Q74,_xlpm.colSite,0),
_xlpm.rowUser,MATCH("Maximum Simultaneously Active Users per Site",_xlfn.DROP(_xlpm.colSite,_xlpm.rowRegion),0),
INDEX(_xlpm.colData,_xlpm.rowRegion+_xlpm.rowUser))</f>
        <v>750</v>
      </c>
      <c r="X74" s="124">
        <f>_xlfn.LET(
    _xlpm.data, 'Base Stations Profiles'!$B:$U,
    _xlpm.colSite, INDEX(_xlpm.data,,1),
    _xlpm.colauto, INDEX(_xlpm.data,,3),
    _xlpm.colData, INDEX(_xlpm.data,,2),
    _xlpm.rowRegion, MATCH(Q74, _xlpm.colSite, 0),
    _xlpm.rowThroughput, MATCH("Maximum Throughput for Downlink per Site", _xlfn.DROP(_xlpm.colSite, _xlpm.rowRegion), 0),
    IF(INDEX(_xlpm.colauto, _xlpm.rowRegion + _xlpm.rowThroughput)='Model Configurator Sup'!$M$4,VLOOKUP(Q74,'Base Stations Parameters'!$B:$T,4,0),INDEX(_xlpm.colData, _xlpm.rowRegion + _xlpm.rowThroughput))
)</f>
        <v>5000</v>
      </c>
      <c r="Y74" s="106">
        <f ca="1">IF($V74&lt;=0,0,T74/(W74*$V74))</f>
        <v>3.5494705882352942</v>
      </c>
      <c r="Z74" s="106">
        <f ca="1">IF($V74&lt;=0,0,U74/(X74*$V74))</f>
        <v>0.15652152942898803</v>
      </c>
      <c r="AA74" s="130">
        <f>VLOOKUP(Q74,'Base Stations Parameters'!$B:$S,3,0)</f>
        <v>100000</v>
      </c>
      <c r="AB74">
        <f ca="1">ROUNDUP(MAX(T74/W74-V74,U74/X74-V74,0),0)</f>
        <v>174</v>
      </c>
      <c r="AC74" s="130">
        <f ca="1">AB74*AA74</f>
        <v>17400000</v>
      </c>
      <c r="AF74" s="69" t="s">
        <v>247</v>
      </c>
      <c r="AH74" s="125">
        <v>7.4999999999999997E-2</v>
      </c>
      <c r="AI74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)*AH74,0)</f>
        <v>307299</v>
      </c>
      <c r="AJ74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)*AH74</f>
        <v>72185.527172551956</v>
      </c>
      <c r="AK74" s="105">
        <f>INDEX('Sites per Region'!$A:$BD, MATCH(AF74,'Sites per Region'!$B:$B,0), MATCH(AG$66,'Sites per Region'!$8:$8, 0))</f>
        <v>68</v>
      </c>
      <c r="AL74" s="105">
        <f>_xlfn.LET(
_xlpm.data,'Base Stations Profiles'!$B:$AI,
_xlpm.colSite,INDEX(_xlpm.data,,1),
_xlpm.colData,INDEX(_xlpm.data,,2),
_xlpm.rowRegion,MATCH(AF74,_xlpm.colSite,0),
_xlpm.rowUser,MATCH("Maximum Simultaneously Active Users per Site",_xlfn.DROP(_xlpm.colSite,_xlpm.rowRegion),0),
INDEX(_xlpm.colData,_xlpm.rowRegion+_xlpm.rowUser))</f>
        <v>750</v>
      </c>
      <c r="AM74" s="124">
        <f>_xlfn.LET(
    _xlpm.data, 'Base Stations Profiles'!$B:$AJ,
    _xlpm.colSite, INDEX(_xlpm.data,,1),
    _xlpm.colauto, INDEX(_xlpm.data,,3),
    _xlpm.colData, INDEX(_xlpm.data,,2),
    _xlpm.rowRegion, MATCH(AF74, _xlpm.colSite, 0),
    _xlpm.rowThroughput, MATCH("Maximum Throughput for Downlink per Site", _xlfn.DROP(_xlpm.colSite, _xlpm.rowRegion), 0),
    IF(INDEX(_xlpm.colauto, _xlpm.rowRegion + _xlpm.rowThroughput)='Model Configurator Sup'!$M$4,VLOOKUP(AF74,'Base Stations Parameters'!$B:$AI,4,0),INDEX(_xlpm.colData, _xlpm.rowRegion + _xlpm.rowThroughput))
)</f>
        <v>5000</v>
      </c>
      <c r="AN74" s="106">
        <f ca="1">IF($AK74&lt;=0,0,AI74/(AL74*$AK74))</f>
        <v>6.0254705882352937</v>
      </c>
      <c r="AO74" s="106">
        <f ca="1">IF($AK74&lt;=0,0,AJ74/(AM74*$AK74))</f>
        <v>0.21231037403691752</v>
      </c>
      <c r="AP74" s="130">
        <f>VLOOKUP(AF74,'Base Stations Parameters'!$B:$AH,3,0)</f>
        <v>100000</v>
      </c>
      <c r="AQ74">
        <f ca="1">ROUNDUP(MAX(AI74/AL74-AK74,AJ74/AM74-AK74,0),0)</f>
        <v>342</v>
      </c>
      <c r="AR74" s="130">
        <f ca="1">AQ74*AP74</f>
        <v>34200000</v>
      </c>
    </row>
    <row r="75" spans="2:44" ht="15.75" customHeight="1" thickBot="1" x14ac:dyDescent="0.3">
      <c r="B75" s="69" t="s">
        <v>171</v>
      </c>
      <c r="D75" s="125">
        <v>7.4999999999999997E-2</v>
      </c>
      <c r="E75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)*D75,0)</f>
        <v>150507</v>
      </c>
      <c r="F75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)*D75</f>
        <v>48231.722041769703</v>
      </c>
      <c r="G75" s="105">
        <f>INDEX('Sites per Region'!$A:$Z, MATCH(B75,'Sites per Region'!$B:$B,0), MATCH(C$66,'Sites per Region'!$8:$8, 0))</f>
        <v>68</v>
      </c>
      <c r="H75" s="105">
        <f>_xlfn.LET(
_xlpm.data,'Base Stations Profiles'!$B:$E,
_xlpm.colSite,INDEX(_xlpm.data,,1),
_xlpm.colData,INDEX(_xlpm.data,,2),
_xlpm.rowRegion,MATCH(B75,_xlpm.colSite,0),
_xlpm.rowUser,MATCH("Maximum Simultaneously Active Users per Site",_xlfn.DROP(_xlpm.colSite,_xlpm.rowRegion),0),
INDEX(_xlpm.colData,_xlpm.rowRegion+_xlpm.rowUser))</f>
        <v>750</v>
      </c>
      <c r="I75" s="124">
        <f>_xlfn.LET(
    _xlpm.data, 'Base Stations Profiles'!$B:$F,
    _xlpm.colSite, INDEX(_xlpm.data,,1),
    _xlpm.colauto, INDEX(_xlpm.data,,3),
    _xlpm.colData, INDEX(_xlpm.data,,2),
    _xlpm.rowRegion, MATCH(B75, _xlpm.colSite, 0),
    _xlpm.rowThroughput, MATCH("Maximum Throughput for Downlink per Site", _xlfn.DROP(_xlpm.colSite, _xlpm.rowRegion), 0),
    IF(INDEX(_xlpm.colauto, _xlpm.rowRegion + _xlpm.rowThroughput)='Model Configurator Sup'!$M$4,VLOOKUP(B75,'Base Stations Parameters'!$B:$E,4,0),INDEX(_xlpm.colData, _xlpm.rowRegion + _xlpm.rowThroughput))
)</f>
        <v>5000</v>
      </c>
      <c r="J75" s="106">
        <f ca="1">IF($G75&lt;=0,0,E75/(H75*$G75))</f>
        <v>2.9511176470588234</v>
      </c>
      <c r="K75" s="106">
        <f ca="1">IF($G75&lt;=0,0,F75/(I75*$G75))</f>
        <v>0.14185800600520501</v>
      </c>
      <c r="L75" s="130">
        <f>VLOOKUP(B75,'Base Stations Parameters'!$B:$D,3,0)</f>
        <v>95000</v>
      </c>
      <c r="M75">
        <f ca="1">ROUNDUP(MAX(E75/H75-G75,F75/I75-G75,0),0)</f>
        <v>133</v>
      </c>
      <c r="N75" s="130">
        <f ca="1">M75*L75</f>
        <v>12635000</v>
      </c>
      <c r="Q75" s="69" t="s">
        <v>171</v>
      </c>
      <c r="S75" s="125">
        <v>7.4999999999999997E-2</v>
      </c>
      <c r="T75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)*S75,0)</f>
        <v>181023</v>
      </c>
      <c r="U75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)*S75</f>
        <v>53217.320005855931</v>
      </c>
      <c r="V75" s="105">
        <f>INDEX('Sites per Region'!$A:$AO, MATCH(Q75,'Sites per Region'!$B:$B,0), MATCH(R$66,'Sites per Region'!$8:$8, 0))</f>
        <v>68</v>
      </c>
      <c r="W75" s="105">
        <f>_xlfn.LET(
_xlpm.data,'Base Stations Profiles'!$B:$T,
_xlpm.colSite,INDEX(_xlpm.data,,1),
_xlpm.colData,INDEX(_xlpm.data,,2),
_xlpm.rowRegion,MATCH(Q75,_xlpm.colSite,0),
_xlpm.rowUser,MATCH("Maximum Simultaneously Active Users per Site",_xlfn.DROP(_xlpm.colSite,_xlpm.rowRegion),0),
INDEX(_xlpm.colData,_xlpm.rowRegion+_xlpm.rowUser))</f>
        <v>750</v>
      </c>
      <c r="X75" s="124">
        <f>_xlfn.LET(
    _xlpm.data, 'Base Stations Profiles'!$B:$U,
    _xlpm.colSite, INDEX(_xlpm.data,,1),
    _xlpm.colauto, INDEX(_xlpm.data,,3),
    _xlpm.colData, INDEX(_xlpm.data,,2),
    _xlpm.rowRegion, MATCH(Q75, _xlpm.colSite, 0),
    _xlpm.rowThroughput, MATCH("Maximum Throughput for Downlink per Site", _xlfn.DROP(_xlpm.colSite, _xlpm.rowRegion), 0),
    IF(INDEX(_xlpm.colauto, _xlpm.rowRegion + _xlpm.rowThroughput)='Model Configurator Sup'!$M$4,VLOOKUP(Q75,'Base Stations Parameters'!$B:$T,4,0),INDEX(_xlpm.colData, _xlpm.rowRegion + _xlpm.rowThroughput))
)</f>
        <v>5000</v>
      </c>
      <c r="Y75" s="106">
        <f ca="1">IF($V75&lt;=0,0,T75/(W75*$V75))</f>
        <v>3.5494705882352942</v>
      </c>
      <c r="Z75" s="106">
        <f ca="1">IF($V75&lt;=0,0,U75/(X75*$V75))</f>
        <v>0.15652152942898803</v>
      </c>
      <c r="AA75" s="130">
        <f>VLOOKUP(Q75,'Base Stations Parameters'!$B:$S,3,0)</f>
        <v>95000</v>
      </c>
      <c r="AB75">
        <f ca="1">ROUNDUP(MAX(T75/W75-V75,U75/X75-V75,0),0)</f>
        <v>174</v>
      </c>
      <c r="AC75" s="130">
        <f ca="1">AB75*AA75</f>
        <v>16530000</v>
      </c>
      <c r="AF75" s="69" t="s">
        <v>171</v>
      </c>
      <c r="AH75" s="125">
        <v>7.4999999999999997E-2</v>
      </c>
      <c r="AI75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)*AH75,0)</f>
        <v>307299</v>
      </c>
      <c r="AJ75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)*AH75</f>
        <v>72185.527172551956</v>
      </c>
      <c r="AK75" s="105">
        <f>INDEX('Sites per Region'!$A:$BD, MATCH(AF75,'Sites per Region'!$B:$B,0), MATCH(AG$66,'Sites per Region'!$8:$8, 0))</f>
        <v>68</v>
      </c>
      <c r="AL75" s="105">
        <f>_xlfn.LET(
_xlpm.data,'Base Stations Profiles'!$B:$AI,
_xlpm.colSite,INDEX(_xlpm.data,,1),
_xlpm.colData,INDEX(_xlpm.data,,2),
_xlpm.rowRegion,MATCH(AF75,_xlpm.colSite,0),
_xlpm.rowUser,MATCH("Maximum Simultaneously Active Users per Site",_xlfn.DROP(_xlpm.colSite,_xlpm.rowRegion),0),
INDEX(_xlpm.colData,_xlpm.rowRegion+_xlpm.rowUser))</f>
        <v>750</v>
      </c>
      <c r="AM75" s="124">
        <f>_xlfn.LET(
    _xlpm.data, 'Base Stations Profiles'!$B:$AJ,
    _xlpm.colSite, INDEX(_xlpm.data,,1),
    _xlpm.colauto, INDEX(_xlpm.data,,3),
    _xlpm.colData, INDEX(_xlpm.data,,2),
    _xlpm.rowRegion, MATCH(AF75, _xlpm.colSite, 0),
    _xlpm.rowThroughput, MATCH("Maximum Throughput for Downlink per Site", _xlfn.DROP(_xlpm.colSite, _xlpm.rowRegion), 0),
    IF(INDEX(_xlpm.colauto, _xlpm.rowRegion + _xlpm.rowThroughput)='Model Configurator Sup'!$M$4,VLOOKUP(AF75,'Base Stations Parameters'!$B:$AI,4,0),INDEX(_xlpm.colData, _xlpm.rowRegion + _xlpm.rowThroughput))
)</f>
        <v>5000</v>
      </c>
      <c r="AN75" s="106">
        <f ca="1">IF($AK75&lt;=0,0,AI75/(AL75*$AK75))</f>
        <v>6.0254705882352937</v>
      </c>
      <c r="AO75" s="106">
        <f ca="1">IF($AK75&lt;=0,0,AJ75/(AM75*$AK75))</f>
        <v>0.21231037403691752</v>
      </c>
      <c r="AP75" s="130">
        <f>VLOOKUP(AF75,'Base Stations Parameters'!$B:$AH,3,0)</f>
        <v>95000</v>
      </c>
      <c r="AQ75">
        <f ca="1">ROUNDUP(MAX(AI75/AL75-AK75,AJ75/AM75-AK75,0),0)</f>
        <v>342</v>
      </c>
      <c r="AR75" s="130">
        <f ca="1">AQ75*AP75</f>
        <v>32490000</v>
      </c>
    </row>
    <row r="76" spans="2:44" ht="15.75" customHeight="1" thickBot="1" x14ac:dyDescent="0.3">
      <c r="B76" s="69" t="s">
        <v>248</v>
      </c>
      <c r="D76" s="125">
        <v>0.05</v>
      </c>
      <c r="E76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)*D76,0)</f>
        <v>100338</v>
      </c>
      <c r="F76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)*D76</f>
        <v>32154.481361179805</v>
      </c>
      <c r="G76" s="105">
        <f>INDEX('Sites per Region'!$A:$Z, MATCH(B76,'Sites per Region'!$B:$B,0), MATCH(C$66,'Sites per Region'!$8:$8, 0))</f>
        <v>195.5</v>
      </c>
      <c r="H76" s="105">
        <f>_xlfn.LET(
_xlpm.data,'Base Stations Profiles'!$B:$E,
_xlpm.colSite,INDEX(_xlpm.data,,1),
_xlpm.colData,INDEX(_xlpm.data,,2),
_xlpm.rowRegion,MATCH(B76,_xlpm.colSite,0),
_xlpm.rowUser,MATCH("Maximum Simultaneously Active Users per Site",_xlfn.DROP(_xlpm.colSite,_xlpm.rowRegion),0),
INDEX(_xlpm.colData,_xlpm.rowRegion+_xlpm.rowUser))</f>
        <v>1500</v>
      </c>
      <c r="I76" s="124">
        <f>_xlfn.LET(
    _xlpm.data, 'Base Stations Profiles'!$B:$F,
    _xlpm.colSite, INDEX(_xlpm.data,,1),
    _xlpm.colauto, INDEX(_xlpm.data,,3),
    _xlpm.colData, INDEX(_xlpm.data,,2),
    _xlpm.rowRegion, MATCH(B76, _xlpm.colSite, 0),
    _xlpm.rowThroughput, MATCH("Maximum Throughput for Downlink per Site", _xlfn.DROP(_xlpm.colSite, _xlpm.rowRegion), 0),
    IF(INDEX(_xlpm.colauto, _xlpm.rowRegion + _xlpm.rowThroughput)='Model Configurator Sup'!$M$4,VLOOKUP(B76,'Base Stations Parameters'!$B:$E,4,0),INDEX(_xlpm.colData, _xlpm.rowRegion + _xlpm.rowThroughput))
)</f>
        <v>2000</v>
      </c>
      <c r="J76" s="106">
        <f ca="1">IF($G76&lt;=0,0,E76/(H76*$G76))</f>
        <v>0.34215856777493608</v>
      </c>
      <c r="K76" s="106">
        <f ca="1">IF($G76&lt;=0,0,F76/(I76*$G76))</f>
        <v>8.223652522040871E-2</v>
      </c>
      <c r="L76" s="130">
        <f>VLOOKUP(B76,'Base Stations Parameters'!$B:$D,3,0)</f>
        <v>95000</v>
      </c>
      <c r="M76">
        <f ca="1">ROUNDUP(MAX(E76/H76-G76,F76/I76-G76,0),0)</f>
        <v>0</v>
      </c>
      <c r="N76" s="130">
        <f ca="1">M76*L76</f>
        <v>0</v>
      </c>
      <c r="Q76" s="69" t="s">
        <v>248</v>
      </c>
      <c r="S76" s="125">
        <v>0.05</v>
      </c>
      <c r="T76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)*S76,0)</f>
        <v>120682</v>
      </c>
      <c r="U76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)*S76</f>
        <v>35478.213337237292</v>
      </c>
      <c r="V76" s="105">
        <f>INDEX('Sites per Region'!$A:$AO, MATCH(Q76,'Sites per Region'!$B:$B,0), MATCH(R$66,'Sites per Region'!$8:$8, 0))</f>
        <v>195.5</v>
      </c>
      <c r="W76" s="105">
        <f>_xlfn.LET(
_xlpm.data,'Base Stations Profiles'!$B:$T,
_xlpm.colSite,INDEX(_xlpm.data,,1),
_xlpm.colData,INDEX(_xlpm.data,,2),
_xlpm.rowRegion,MATCH(Q76,_xlpm.colSite,0),
_xlpm.rowUser,MATCH("Maximum Simultaneously Active Users per Site",_xlfn.DROP(_xlpm.colSite,_xlpm.rowRegion),0),
INDEX(_xlpm.colData,_xlpm.rowRegion+_xlpm.rowUser))</f>
        <v>1500</v>
      </c>
      <c r="X76" s="124">
        <f>_xlfn.LET(
    _xlpm.data, 'Base Stations Profiles'!$B:$U,
    _xlpm.colSite, INDEX(_xlpm.data,,1),
    _xlpm.colauto, INDEX(_xlpm.data,,3),
    _xlpm.colData, INDEX(_xlpm.data,,2),
    _xlpm.rowRegion, MATCH(Q76, _xlpm.colSite, 0),
    _xlpm.rowThroughput, MATCH("Maximum Throughput for Downlink per Site", _xlfn.DROP(_xlpm.colSite, _xlpm.rowRegion), 0),
    IF(INDEX(_xlpm.colauto, _xlpm.rowRegion + _xlpm.rowThroughput)='Model Configurator Sup'!$M$4,VLOOKUP(Q76,'Base Stations Parameters'!$B:$T,4,0),INDEX(_xlpm.colData, _xlpm.rowRegion + _xlpm.rowThroughput))
)</f>
        <v>2000</v>
      </c>
      <c r="Y76" s="106">
        <f ca="1">IF($V76&lt;=0,0,T76/(W76*$V76))</f>
        <v>0.41153282182438194</v>
      </c>
      <c r="Z76" s="106">
        <f ca="1">IF($V76&lt;=0,0,U76/(X76*$V76))</f>
        <v>9.073711850955829E-2</v>
      </c>
      <c r="AA76" s="130">
        <f>VLOOKUP(Q76,'Base Stations Parameters'!$B:$S,3,0)</f>
        <v>95000</v>
      </c>
      <c r="AB76">
        <f ca="1">ROUNDUP(MAX(T76/W76-V76,U76/X76-V76,0),0)</f>
        <v>0</v>
      </c>
      <c r="AC76" s="130">
        <f ca="1">AB76*AA76</f>
        <v>0</v>
      </c>
      <c r="AF76" s="69" t="s">
        <v>248</v>
      </c>
      <c r="AH76" s="125">
        <v>0.05</v>
      </c>
      <c r="AI76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)*AH76,0)</f>
        <v>204866</v>
      </c>
      <c r="AJ76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)*AH76</f>
        <v>48123.684781701304</v>
      </c>
      <c r="AK76" s="105">
        <f>INDEX('Sites per Region'!$A:$BD, MATCH(AF76,'Sites per Region'!$B:$B,0), MATCH(AG$66,'Sites per Region'!$8:$8, 0))</f>
        <v>195.5</v>
      </c>
      <c r="AL76" s="105">
        <f>_xlfn.LET(
_xlpm.data,'Base Stations Profiles'!$B:$AI,
_xlpm.colSite,INDEX(_xlpm.data,,1),
_xlpm.colData,INDEX(_xlpm.data,,2),
_xlpm.rowRegion,MATCH(AF76,_xlpm.colSite,0),
_xlpm.rowUser,MATCH("Maximum Simultaneously Active Users per Site",_xlfn.DROP(_xlpm.colSite,_xlpm.rowRegion),0),
INDEX(_xlpm.colData,_xlpm.rowRegion+_xlpm.rowUser))</f>
        <v>1500</v>
      </c>
      <c r="AM76" s="124">
        <f>_xlfn.LET(
    _xlpm.data, 'Base Stations Profiles'!$B:$AJ,
    _xlpm.colSite, INDEX(_xlpm.data,,1),
    _xlpm.colauto, INDEX(_xlpm.data,,3),
    _xlpm.colData, INDEX(_xlpm.data,,2),
    _xlpm.rowRegion, MATCH(AF76, _xlpm.colSite, 0),
    _xlpm.rowThroughput, MATCH("Maximum Throughput for Downlink per Site", _xlfn.DROP(_xlpm.colSite, _xlpm.rowRegion), 0),
    IF(INDEX(_xlpm.colauto, _xlpm.rowRegion + _xlpm.rowThroughput)='Model Configurator Sup'!$M$4,VLOOKUP(AF76,'Base Stations Parameters'!$B:$AI,4,0),INDEX(_xlpm.colData, _xlpm.rowRegion + _xlpm.rowThroughput))
)</f>
        <v>2000</v>
      </c>
      <c r="AN76" s="106">
        <f ca="1">IF($AK76&lt;=0,0,AI76/(AL76*$AK76))</f>
        <v>0.6986052855924979</v>
      </c>
      <c r="AO76" s="106">
        <f ca="1">IF($AK76&lt;=0,0,AJ76/(AM76*$AK76))</f>
        <v>0.12307847770256088</v>
      </c>
      <c r="AP76" s="130">
        <f>VLOOKUP(AF76,'Base Stations Parameters'!$B:$AH,3,0)</f>
        <v>95000</v>
      </c>
      <c r="AQ76">
        <f ca="1">ROUNDUP(MAX(AI76/AL76-AK76,AJ76/AM76-AK76,0),0)</f>
        <v>0</v>
      </c>
      <c r="AR76" s="130">
        <f ca="1">AQ76*AP76</f>
        <v>0</v>
      </c>
    </row>
    <row r="77" spans="2:44" ht="15.75" customHeight="1" thickBot="1" x14ac:dyDescent="0.3">
      <c r="B77" s="69" t="s">
        <v>172</v>
      </c>
      <c r="D77" s="125">
        <v>0.05</v>
      </c>
      <c r="E77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)*D77,0)</f>
        <v>100338</v>
      </c>
      <c r="F77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)*D77</f>
        <v>32154.481361179805</v>
      </c>
      <c r="G77" s="105">
        <f>INDEX('Sites per Region'!$A:$Z, MATCH(B77,'Sites per Region'!$B:$B,0), MATCH(C$66,'Sites per Region'!$8:$8, 0))</f>
        <v>195.5</v>
      </c>
      <c r="H77" s="105">
        <f>_xlfn.LET(
_xlpm.data,'Base Stations Profiles'!$B:$E,
_xlpm.colSite,INDEX(_xlpm.data,,1),
_xlpm.colData,INDEX(_xlpm.data,,2),
_xlpm.rowRegion,MATCH(B77,_xlpm.colSite,0),
_xlpm.rowUser,MATCH("Maximum Simultaneously Active Users per Site",_xlfn.DROP(_xlpm.colSite,_xlpm.rowRegion),0),
INDEX(_xlpm.colData,_xlpm.rowRegion+_xlpm.rowUser))</f>
        <v>1500</v>
      </c>
      <c r="I77" s="124">
        <f>_xlfn.LET(
    _xlpm.data, 'Base Stations Profiles'!$B:$F,
    _xlpm.colSite, INDEX(_xlpm.data,,1),
    _xlpm.colauto, INDEX(_xlpm.data,,3),
    _xlpm.colData, INDEX(_xlpm.data,,2),
    _xlpm.rowRegion, MATCH(B77, _xlpm.colSite, 0),
    _xlpm.rowThroughput, MATCH("Maximum Throughput for Downlink per Site", _xlfn.DROP(_xlpm.colSite, _xlpm.rowRegion), 0),
    IF(INDEX(_xlpm.colauto, _xlpm.rowRegion + _xlpm.rowThroughput)='Model Configurator Sup'!$M$4,VLOOKUP(B77,'Base Stations Parameters'!$B:$E,4,0),INDEX(_xlpm.colData, _xlpm.rowRegion + _xlpm.rowThroughput))
)</f>
        <v>2000</v>
      </c>
      <c r="J77" s="106">
        <f ca="1">IF($G77&lt;=0,0,E77/(H77*$G77))</f>
        <v>0.34215856777493608</v>
      </c>
      <c r="K77" s="106">
        <f ca="1">IF($G77&lt;=0,0,F77/(I77*$G77))</f>
        <v>8.223652522040871E-2</v>
      </c>
      <c r="L77" s="130">
        <f>VLOOKUP(B77,'Base Stations Parameters'!$B:$D,3,0)</f>
        <v>80000</v>
      </c>
      <c r="M77">
        <f ca="1">ROUNDUP(MAX(E77/H77-G77,F77/I77-G77,0),0)</f>
        <v>0</v>
      </c>
      <c r="N77" s="130">
        <f ca="1">M77*L77</f>
        <v>0</v>
      </c>
      <c r="Q77" s="69" t="s">
        <v>172</v>
      </c>
      <c r="S77" s="125">
        <v>0.05</v>
      </c>
      <c r="T77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)*S77,0)</f>
        <v>120682</v>
      </c>
      <c r="U77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)*S77</f>
        <v>35478.213337237292</v>
      </c>
      <c r="V77" s="105">
        <f>INDEX('Sites per Region'!$A:$AO, MATCH(Q77,'Sites per Region'!$B:$B,0), MATCH(R$66,'Sites per Region'!$8:$8, 0))</f>
        <v>195.5</v>
      </c>
      <c r="W77" s="105">
        <f>_xlfn.LET(
_xlpm.data,'Base Stations Profiles'!$B:$T,
_xlpm.colSite,INDEX(_xlpm.data,,1),
_xlpm.colData,INDEX(_xlpm.data,,2),
_xlpm.rowRegion,MATCH(Q77,_xlpm.colSite,0),
_xlpm.rowUser,MATCH("Maximum Simultaneously Active Users per Site",_xlfn.DROP(_xlpm.colSite,_xlpm.rowRegion),0),
INDEX(_xlpm.colData,_xlpm.rowRegion+_xlpm.rowUser))</f>
        <v>1500</v>
      </c>
      <c r="X77" s="124">
        <f>_xlfn.LET(
    _xlpm.data, 'Base Stations Profiles'!$B:$U,
    _xlpm.colSite, INDEX(_xlpm.data,,1),
    _xlpm.colauto, INDEX(_xlpm.data,,3),
    _xlpm.colData, INDEX(_xlpm.data,,2),
    _xlpm.rowRegion, MATCH(Q77, _xlpm.colSite, 0),
    _xlpm.rowThroughput, MATCH("Maximum Throughput for Downlink per Site", _xlfn.DROP(_xlpm.colSite, _xlpm.rowRegion), 0),
    IF(INDEX(_xlpm.colauto, _xlpm.rowRegion + _xlpm.rowThroughput)='Model Configurator Sup'!$M$4,VLOOKUP(Q77,'Base Stations Parameters'!$B:$T,4,0),INDEX(_xlpm.colData, _xlpm.rowRegion + _xlpm.rowThroughput))
)</f>
        <v>2000</v>
      </c>
      <c r="Y77" s="106">
        <f ca="1">IF($V77&lt;=0,0,T77/(W77*$V77))</f>
        <v>0.41153282182438194</v>
      </c>
      <c r="Z77" s="106">
        <f ca="1">IF($V77&lt;=0,0,U77/(X77*$V77))</f>
        <v>9.073711850955829E-2</v>
      </c>
      <c r="AA77" s="130">
        <f>VLOOKUP(Q77,'Base Stations Parameters'!$B:$S,3,0)</f>
        <v>80000</v>
      </c>
      <c r="AB77">
        <f ca="1">ROUNDUP(MAX(T77/W77-V77,U77/X77-V77,0),0)</f>
        <v>0</v>
      </c>
      <c r="AC77" s="130">
        <f ca="1">AB77*AA77</f>
        <v>0</v>
      </c>
      <c r="AF77" s="69" t="s">
        <v>172</v>
      </c>
      <c r="AH77" s="125">
        <v>0.05</v>
      </c>
      <c r="AI77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)*AH77,0)</f>
        <v>204866</v>
      </c>
      <c r="AJ77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)*AH77</f>
        <v>48123.684781701304</v>
      </c>
      <c r="AK77" s="105">
        <f>INDEX('Sites per Region'!$A:$BD, MATCH(AF77,'Sites per Region'!$B:$B,0), MATCH(AG$66,'Sites per Region'!$8:$8, 0))</f>
        <v>195.5</v>
      </c>
      <c r="AL77" s="105">
        <f>_xlfn.LET(
_xlpm.data,'Base Stations Profiles'!$B:$AI,
_xlpm.colSite,INDEX(_xlpm.data,,1),
_xlpm.colData,INDEX(_xlpm.data,,2),
_xlpm.rowRegion,MATCH(AF77,_xlpm.colSite,0),
_xlpm.rowUser,MATCH("Maximum Simultaneously Active Users per Site",_xlfn.DROP(_xlpm.colSite,_xlpm.rowRegion),0),
INDEX(_xlpm.colData,_xlpm.rowRegion+_xlpm.rowUser))</f>
        <v>1500</v>
      </c>
      <c r="AM77" s="124">
        <f>_xlfn.LET(
    _xlpm.data, 'Base Stations Profiles'!$B:$AJ,
    _xlpm.colSite, INDEX(_xlpm.data,,1),
    _xlpm.colauto, INDEX(_xlpm.data,,3),
    _xlpm.colData, INDEX(_xlpm.data,,2),
    _xlpm.rowRegion, MATCH(AF77, _xlpm.colSite, 0),
    _xlpm.rowThroughput, MATCH("Maximum Throughput for Downlink per Site", _xlfn.DROP(_xlpm.colSite, _xlpm.rowRegion), 0),
    IF(INDEX(_xlpm.colauto, _xlpm.rowRegion + _xlpm.rowThroughput)='Model Configurator Sup'!$M$4,VLOOKUP(AF77,'Base Stations Parameters'!$B:$AI,4,0),INDEX(_xlpm.colData, _xlpm.rowRegion + _xlpm.rowThroughput))
)</f>
        <v>2000</v>
      </c>
      <c r="AN77" s="106">
        <f ca="1">IF($AK77&lt;=0,0,AI77/(AL77*$AK77))</f>
        <v>0.6986052855924979</v>
      </c>
      <c r="AO77" s="106">
        <f ca="1">IF($AK77&lt;=0,0,AJ77/(AM77*$AK77))</f>
        <v>0.12307847770256088</v>
      </c>
      <c r="AP77" s="130">
        <f>VLOOKUP(AF77,'Base Stations Parameters'!$B:$AH,3,0)</f>
        <v>80000</v>
      </c>
      <c r="AQ77">
        <f ca="1">ROUNDUP(MAX(AI77/AL77-AK77,AJ77/AM77-AK77,0),0)</f>
        <v>0</v>
      </c>
      <c r="AR77" s="130">
        <f ca="1">AQ77*AP77</f>
        <v>0</v>
      </c>
    </row>
    <row r="78" spans="2:44" ht="15.75" customHeight="1" thickBot="1" x14ac:dyDescent="0.3">
      <c r="B78" s="69" t="s">
        <v>249</v>
      </c>
      <c r="D78" s="125">
        <v>0.05</v>
      </c>
      <c r="E78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)*D78,0)</f>
        <v>100338</v>
      </c>
      <c r="F78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)*D78</f>
        <v>32154.481361179805</v>
      </c>
      <c r="G78" s="105">
        <f>INDEX('Sites per Region'!$A:$Z, MATCH(B78,'Sites per Region'!$B:$B,0), MATCH(C$66,'Sites per Region'!$8:$8, 0))</f>
        <v>186</v>
      </c>
      <c r="H78" s="105">
        <f>_xlfn.LET(
_xlpm.data,'Base Stations Profiles'!$B:$E,
_xlpm.colSite,INDEX(_xlpm.data,,1),
_xlpm.colData,INDEX(_xlpm.data,,2),
_xlpm.rowRegion,MATCH(B78,_xlpm.colSite,0),
_xlpm.rowUser,MATCH("Maximum Simultaneously Active Users per Site",_xlfn.DROP(_xlpm.colSite,_xlpm.rowRegion),0),
INDEX(_xlpm.colData,_xlpm.rowRegion+_xlpm.rowUser))</f>
        <v>800</v>
      </c>
      <c r="I78" s="124">
        <f>_xlfn.LET(
    _xlpm.data, 'Base Stations Profiles'!$B:$F,
    _xlpm.colSite, INDEX(_xlpm.data,,1),
    _xlpm.colauto, INDEX(_xlpm.data,,3),
    _xlpm.colData, INDEX(_xlpm.data,,2),
    _xlpm.rowRegion, MATCH(B78, _xlpm.colSite, 0),
    _xlpm.rowThroughput, MATCH("Maximum Throughput for Downlink per Site", _xlfn.DROP(_xlpm.colSite, _xlpm.rowRegion), 0),
    IF(INDEX(_xlpm.colauto, _xlpm.rowRegion + _xlpm.rowThroughput)='Model Configurator Sup'!$M$4,VLOOKUP(B78,'Base Stations Parameters'!$B:$E,4,0),INDEX(_xlpm.colData, _xlpm.rowRegion + _xlpm.rowThroughput))
)</f>
        <v>1200</v>
      </c>
      <c r="J78" s="106">
        <f ca="1">IF($G78&lt;=0,0,E78/(H78*$G78))</f>
        <v>0.67431451612903226</v>
      </c>
      <c r="K78" s="106">
        <f ca="1">IF($G78&lt;=0,0,F78/(I78*$G78))</f>
        <v>0.14406129642105647</v>
      </c>
      <c r="L78" s="130">
        <f>VLOOKUP(B78,'Base Stations Parameters'!$B:$D,3,0)</f>
        <v>80000</v>
      </c>
      <c r="M78">
        <f ca="1">ROUNDUP(MAX(E78/H78-G78,F78/I78-G78,0),0)</f>
        <v>0</v>
      </c>
      <c r="N78" s="130">
        <f ca="1">M78*L78</f>
        <v>0</v>
      </c>
      <c r="Q78" s="69" t="s">
        <v>249</v>
      </c>
      <c r="S78" s="125">
        <v>0.05</v>
      </c>
      <c r="T78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)*S78,0)</f>
        <v>120682</v>
      </c>
      <c r="U78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)*S78</f>
        <v>35478.213337237292</v>
      </c>
      <c r="V78" s="105">
        <f>INDEX('Sites per Region'!$A:$AO, MATCH(Q78,'Sites per Region'!$B:$B,0), MATCH(R$66,'Sites per Region'!$8:$8, 0))</f>
        <v>186</v>
      </c>
      <c r="W78" s="105">
        <f>_xlfn.LET(
_xlpm.data,'Base Stations Profiles'!$B:$T,
_xlpm.colSite,INDEX(_xlpm.data,,1),
_xlpm.colData,INDEX(_xlpm.data,,2),
_xlpm.rowRegion,MATCH(Q78,_xlpm.colSite,0),
_xlpm.rowUser,MATCH("Maximum Simultaneously Active Users per Site",_xlfn.DROP(_xlpm.colSite,_xlpm.rowRegion),0),
INDEX(_xlpm.colData,_xlpm.rowRegion+_xlpm.rowUser))</f>
        <v>800</v>
      </c>
      <c r="X78" s="124">
        <f>_xlfn.LET(
    _xlpm.data, 'Base Stations Profiles'!$B:$U,
    _xlpm.colSite, INDEX(_xlpm.data,,1),
    _xlpm.colauto, INDEX(_xlpm.data,,3),
    _xlpm.colData, INDEX(_xlpm.data,,2),
    _xlpm.rowRegion, MATCH(Q78, _xlpm.colSite, 0),
    _xlpm.rowThroughput, MATCH("Maximum Throughput for Downlink per Site", _xlfn.DROP(_xlpm.colSite, _xlpm.rowRegion), 0),
    IF(INDEX(_xlpm.colauto, _xlpm.rowRegion + _xlpm.rowThroughput)='Model Configurator Sup'!$M$4,VLOOKUP(Q78,'Base Stations Parameters'!$B:$T,4,0),INDEX(_xlpm.colData, _xlpm.rowRegion + _xlpm.rowThroughput))
)</f>
        <v>1200</v>
      </c>
      <c r="Y78" s="106">
        <f ca="1">IF($V78&lt;=0,0,T78/(W78*$V78))</f>
        <v>0.81103494623655914</v>
      </c>
      <c r="Z78" s="106">
        <f ca="1">IF($V78&lt;=0,0,U78/(X78*$V78))</f>
        <v>0.15895256871522084</v>
      </c>
      <c r="AA78" s="130">
        <f>VLOOKUP(Q78,'Base Stations Parameters'!$B:$S,3,0)</f>
        <v>80000</v>
      </c>
      <c r="AB78">
        <f ca="1">ROUNDUP(MAX(T78/W78-V78,U78/X78-V78,0),0)</f>
        <v>0</v>
      </c>
      <c r="AC78" s="130">
        <f ca="1">AB78*AA78</f>
        <v>0</v>
      </c>
      <c r="AF78" s="69" t="s">
        <v>249</v>
      </c>
      <c r="AH78" s="125">
        <v>0.05</v>
      </c>
      <c r="AI78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)*AH78,0)</f>
        <v>204866</v>
      </c>
      <c r="AJ78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)*AH78</f>
        <v>48123.684781701304</v>
      </c>
      <c r="AK78" s="105">
        <f>INDEX('Sites per Region'!$A:$BD, MATCH(AF78,'Sites per Region'!$B:$B,0), MATCH(AG$66,'Sites per Region'!$8:$8, 0))</f>
        <v>186</v>
      </c>
      <c r="AL78" s="105">
        <f>_xlfn.LET(
_xlpm.data,'Base Stations Profiles'!$B:$AI,
_xlpm.colSite,INDEX(_xlpm.data,,1),
_xlpm.colData,INDEX(_xlpm.data,,2),
_xlpm.rowRegion,MATCH(AF78,_xlpm.colSite,0),
_xlpm.rowUser,MATCH("Maximum Simultaneously Active Users per Site",_xlfn.DROP(_xlpm.colSite,_xlpm.rowRegion),0),
INDEX(_xlpm.colData,_xlpm.rowRegion+_xlpm.rowUser))</f>
        <v>800</v>
      </c>
      <c r="AM78" s="124">
        <f>_xlfn.LET(
    _xlpm.data, 'Base Stations Profiles'!$B:$AJ,
    _xlpm.colSite, INDEX(_xlpm.data,,1),
    _xlpm.colauto, INDEX(_xlpm.data,,3),
    _xlpm.colData, INDEX(_xlpm.data,,2),
    _xlpm.rowRegion, MATCH(AF78, _xlpm.colSite, 0),
    _xlpm.rowThroughput, MATCH("Maximum Throughput for Downlink per Site", _xlfn.DROP(_xlpm.colSite, _xlpm.rowRegion), 0),
    IF(INDEX(_xlpm.colauto, _xlpm.rowRegion + _xlpm.rowThroughput)='Model Configurator Sup'!$M$4,VLOOKUP(AF78,'Base Stations Parameters'!$B:$AI,4,0),INDEX(_xlpm.colData, _xlpm.rowRegion + _xlpm.rowThroughput))
)</f>
        <v>1200</v>
      </c>
      <c r="AN78" s="106">
        <f ca="1">IF($AK78&lt;=0,0,AI78/(AL78*$AK78))</f>
        <v>1.3767876344086021</v>
      </c>
      <c r="AO78" s="106">
        <f ca="1">IF($AK78&lt;=0,0,AJ78/(AM78*$AK78))</f>
        <v>0.21560790672805244</v>
      </c>
      <c r="AP78" s="130">
        <f>VLOOKUP(AF78,'Base Stations Parameters'!$B:$AH,3,0)</f>
        <v>80000</v>
      </c>
      <c r="AQ78">
        <f ca="1">ROUNDUP(MAX(AI78/AL78-AK78,AJ78/AM78-AK78,0),0)</f>
        <v>71</v>
      </c>
      <c r="AR78" s="130">
        <f ca="1">AQ78*AP78</f>
        <v>5680000</v>
      </c>
    </row>
    <row r="79" spans="2:44" ht="15.75" customHeight="1" thickBot="1" x14ac:dyDescent="0.3">
      <c r="B79" s="69" t="s">
        <v>173</v>
      </c>
      <c r="D79" s="125">
        <v>0.05</v>
      </c>
      <c r="E79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)*D79,0)</f>
        <v>100338</v>
      </c>
      <c r="F79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)*D79</f>
        <v>32154.481361179805</v>
      </c>
      <c r="G79" s="105">
        <f>INDEX('Sites per Region'!$A:$Z, MATCH(B79,'Sites per Region'!$B:$B,0), MATCH(C$66,'Sites per Region'!$8:$8, 0))</f>
        <v>186</v>
      </c>
      <c r="H79" s="105">
        <f>_xlfn.LET(
_xlpm.data,'Base Stations Profiles'!$B:$E,
_xlpm.colSite,INDEX(_xlpm.data,,1),
_xlpm.colData,INDEX(_xlpm.data,,2),
_xlpm.rowRegion,MATCH(B79,_xlpm.colSite,0),
_xlpm.rowUser,MATCH("Maximum Simultaneously Active Users per Site",_xlfn.DROP(_xlpm.colSite,_xlpm.rowRegion),0),
INDEX(_xlpm.colData,_xlpm.rowRegion+_xlpm.rowUser))</f>
        <v>800</v>
      </c>
      <c r="I79" s="124">
        <f>_xlfn.LET(
    _xlpm.data, 'Base Stations Profiles'!$B:$F,
    _xlpm.colSite, INDEX(_xlpm.data,,1),
    _xlpm.colauto, INDEX(_xlpm.data,,3),
    _xlpm.colData, INDEX(_xlpm.data,,2),
    _xlpm.rowRegion, MATCH(B79, _xlpm.colSite, 0),
    _xlpm.rowThroughput, MATCH("Maximum Throughput for Downlink per Site", _xlfn.DROP(_xlpm.colSite, _xlpm.rowRegion), 0),
    IF(INDEX(_xlpm.colauto, _xlpm.rowRegion + _xlpm.rowThroughput)='Model Configurator Sup'!$M$4,VLOOKUP(B79,'Base Stations Parameters'!$B:$E,4,0),INDEX(_xlpm.colData, _xlpm.rowRegion + _xlpm.rowThroughput))
)</f>
        <v>1200</v>
      </c>
      <c r="J79" s="106">
        <f ca="1">IF($G79&lt;=0,0,E79/(H79*$G79))</f>
        <v>0.67431451612903226</v>
      </c>
      <c r="K79" s="106">
        <f ca="1">IF($G79&lt;=0,0,F79/(I79*$G79))</f>
        <v>0.14406129642105647</v>
      </c>
      <c r="L79" s="130">
        <f>VLOOKUP(B79,'Base Stations Parameters'!$B:$D,3,0)</f>
        <v>60000</v>
      </c>
      <c r="M79">
        <f ca="1">ROUNDUP(MAX(E79/H79-G79,F79/I79-G79,0),0)</f>
        <v>0</v>
      </c>
      <c r="N79" s="130">
        <f ca="1">M79*L79</f>
        <v>0</v>
      </c>
      <c r="Q79" s="69" t="s">
        <v>173</v>
      </c>
      <c r="S79" s="125">
        <v>0.05</v>
      </c>
      <c r="T79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)*S79,0)</f>
        <v>120682</v>
      </c>
      <c r="U79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)*S79</f>
        <v>35478.213337237292</v>
      </c>
      <c r="V79" s="105">
        <f>INDEX('Sites per Region'!$A:$AO, MATCH(Q79,'Sites per Region'!$B:$B,0), MATCH(R$66,'Sites per Region'!$8:$8, 0))</f>
        <v>186</v>
      </c>
      <c r="W79" s="105">
        <f>_xlfn.LET(
_xlpm.data,'Base Stations Profiles'!$B:$T,
_xlpm.colSite,INDEX(_xlpm.data,,1),
_xlpm.colData,INDEX(_xlpm.data,,2),
_xlpm.rowRegion,MATCH(Q79,_xlpm.colSite,0),
_xlpm.rowUser,MATCH("Maximum Simultaneously Active Users per Site",_xlfn.DROP(_xlpm.colSite,_xlpm.rowRegion),0),
INDEX(_xlpm.colData,_xlpm.rowRegion+_xlpm.rowUser))</f>
        <v>800</v>
      </c>
      <c r="X79" s="124">
        <f>_xlfn.LET(
    _xlpm.data, 'Base Stations Profiles'!$B:$U,
    _xlpm.colSite, INDEX(_xlpm.data,,1),
    _xlpm.colauto, INDEX(_xlpm.data,,3),
    _xlpm.colData, INDEX(_xlpm.data,,2),
    _xlpm.rowRegion, MATCH(Q79, _xlpm.colSite, 0),
    _xlpm.rowThroughput, MATCH("Maximum Throughput for Downlink per Site", _xlfn.DROP(_xlpm.colSite, _xlpm.rowRegion), 0),
    IF(INDEX(_xlpm.colauto, _xlpm.rowRegion + _xlpm.rowThroughput)='Model Configurator Sup'!$M$4,VLOOKUP(Q79,'Base Stations Parameters'!$B:$T,4,0),INDEX(_xlpm.colData, _xlpm.rowRegion + _xlpm.rowThroughput))
)</f>
        <v>1200</v>
      </c>
      <c r="Y79" s="106">
        <f ca="1">IF($V79&lt;=0,0,T79/(W79*$V79))</f>
        <v>0.81103494623655914</v>
      </c>
      <c r="Z79" s="106">
        <f ca="1">IF($V79&lt;=0,0,U79/(X79*$V79))</f>
        <v>0.15895256871522084</v>
      </c>
      <c r="AA79" s="130">
        <f>VLOOKUP(Q79,'Base Stations Parameters'!$B:$S,3,0)</f>
        <v>60000</v>
      </c>
      <c r="AB79">
        <f ca="1">ROUNDUP(MAX(T79/W79-V79,U79/X79-V79,0),0)</f>
        <v>0</v>
      </c>
      <c r="AC79" s="130">
        <f ca="1">AB79*AA79</f>
        <v>0</v>
      </c>
      <c r="AF79" s="69" t="s">
        <v>173</v>
      </c>
      <c r="AH79" s="125">
        <v>0.05</v>
      </c>
      <c r="AI79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)*AH79,0)</f>
        <v>204866</v>
      </c>
      <c r="AJ79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)*AH79</f>
        <v>48123.684781701304</v>
      </c>
      <c r="AK79" s="105">
        <f>INDEX('Sites per Region'!$A:$BD, MATCH(AF79,'Sites per Region'!$B:$B,0), MATCH(AG$66,'Sites per Region'!$8:$8, 0))</f>
        <v>186</v>
      </c>
      <c r="AL79" s="105">
        <f>_xlfn.LET(
_xlpm.data,'Base Stations Profiles'!$B:$AI,
_xlpm.colSite,INDEX(_xlpm.data,,1),
_xlpm.colData,INDEX(_xlpm.data,,2),
_xlpm.rowRegion,MATCH(AF79,_xlpm.colSite,0),
_xlpm.rowUser,MATCH("Maximum Simultaneously Active Users per Site",_xlfn.DROP(_xlpm.colSite,_xlpm.rowRegion),0),
INDEX(_xlpm.colData,_xlpm.rowRegion+_xlpm.rowUser))</f>
        <v>800</v>
      </c>
      <c r="AM79" s="124">
        <f>_xlfn.LET(
    _xlpm.data, 'Base Stations Profiles'!$B:$AJ,
    _xlpm.colSite, INDEX(_xlpm.data,,1),
    _xlpm.colauto, INDEX(_xlpm.data,,3),
    _xlpm.colData, INDEX(_xlpm.data,,2),
    _xlpm.rowRegion, MATCH(AF79, _xlpm.colSite, 0),
    _xlpm.rowThroughput, MATCH("Maximum Throughput for Downlink per Site", _xlfn.DROP(_xlpm.colSite, _xlpm.rowRegion), 0),
    IF(INDEX(_xlpm.colauto, _xlpm.rowRegion + _xlpm.rowThroughput)='Model Configurator Sup'!$M$4,VLOOKUP(AF79,'Base Stations Parameters'!$B:$AI,4,0),INDEX(_xlpm.colData, _xlpm.rowRegion + _xlpm.rowThroughput))
)</f>
        <v>1200</v>
      </c>
      <c r="AN79" s="106">
        <f ca="1">IF($AK79&lt;=0,0,AI79/(AL79*$AK79))</f>
        <v>1.3767876344086021</v>
      </c>
      <c r="AO79" s="106">
        <f ca="1">IF($AK79&lt;=0,0,AJ79/(AM79*$AK79))</f>
        <v>0.21560790672805244</v>
      </c>
      <c r="AP79" s="130">
        <f>VLOOKUP(AF79,'Base Stations Parameters'!$B:$AH,3,0)</f>
        <v>60000</v>
      </c>
      <c r="AQ79">
        <f ca="1">ROUNDUP(MAX(AI79/AL79-AK79,AJ79/AM79-AK79,0),0)</f>
        <v>71</v>
      </c>
      <c r="AR79" s="130">
        <f ca="1">AQ79*AP79</f>
        <v>4260000</v>
      </c>
    </row>
    <row r="80" spans="2:44" ht="15.75" customHeight="1" thickBot="1" x14ac:dyDescent="0.3">
      <c r="B80" s="69" t="s">
        <v>250</v>
      </c>
      <c r="D80" s="125">
        <v>2.5000000000000001E-2</v>
      </c>
      <c r="E80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)*D80,0)</f>
        <v>50169</v>
      </c>
      <c r="F80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)*D80</f>
        <v>16077.240680589903</v>
      </c>
      <c r="G80" s="105">
        <f>INDEX('Sites per Region'!$A:$Z, MATCH(B80,'Sites per Region'!$B:$B,0), MATCH(C$66,'Sites per Region'!$8:$8, 0))</f>
        <v>98.5</v>
      </c>
      <c r="H80" s="105">
        <f>_xlfn.LET(
_xlpm.data,'Base Stations Profiles'!$B:$E,
_xlpm.colSite,INDEX(_xlpm.data,,1),
_xlpm.colData,INDEX(_xlpm.data,,2),
_xlpm.rowRegion,MATCH(B80,_xlpm.colSite,0),
_xlpm.rowUser,MATCH("Maximum Simultaneously Active Users per Site",_xlfn.DROP(_xlpm.colSite,_xlpm.rowRegion),0),
INDEX(_xlpm.colData,_xlpm.rowRegion+_xlpm.rowUser))</f>
        <v>400</v>
      </c>
      <c r="I80" s="124">
        <f>_xlfn.LET(
    _xlpm.data, 'Base Stations Profiles'!$B:$F,
    _xlpm.colSite, INDEX(_xlpm.data,,1),
    _xlpm.colauto, INDEX(_xlpm.data,,3),
    _xlpm.colData, INDEX(_xlpm.data,,2),
    _xlpm.rowRegion, MATCH(B80, _xlpm.colSite, 0),
    _xlpm.rowThroughput, MATCH("Maximum Throughput for Downlink per Site", _xlfn.DROP(_xlpm.colSite, _xlpm.rowRegion), 0),
    IF(INDEX(_xlpm.colauto, _xlpm.rowRegion + _xlpm.rowThroughput)='Model Configurator Sup'!$M$4,VLOOKUP(B80,'Base Stations Parameters'!$B:$E,4,0),INDEX(_xlpm.colData, _xlpm.rowRegion + _xlpm.rowThroughput))
)</f>
        <v>300</v>
      </c>
      <c r="J80" s="106">
        <f ca="1">IF($G80&lt;=0,0,E80/(H80*$G80))</f>
        <v>1.2733248730964466</v>
      </c>
      <c r="K80" s="106">
        <f ca="1">IF($G80&lt;=0,0,F80/(I80*$G80))</f>
        <v>0.54406905856480214</v>
      </c>
      <c r="L80" s="130">
        <f>VLOOKUP(B80,'Base Stations Parameters'!$B:$D,3,0)</f>
        <v>60000</v>
      </c>
      <c r="M80">
        <f ca="1">ROUNDUP(MAX(E80/H80-G80,F80/I80-G80,0),0)</f>
        <v>27</v>
      </c>
      <c r="N80" s="130">
        <f ca="1">M80*L80</f>
        <v>1620000</v>
      </c>
      <c r="Q80" s="69" t="s">
        <v>250</v>
      </c>
      <c r="S80" s="125">
        <v>2.5000000000000001E-2</v>
      </c>
      <c r="T80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)*S80,0)</f>
        <v>60341</v>
      </c>
      <c r="U80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)*S80</f>
        <v>17739.106668618646</v>
      </c>
      <c r="V80" s="105">
        <f>INDEX('Sites per Region'!$A:$AO, MATCH(Q80,'Sites per Region'!$B:$B,0), MATCH(R$66,'Sites per Region'!$8:$8, 0))</f>
        <v>98.5</v>
      </c>
      <c r="W80" s="105">
        <f>_xlfn.LET(
_xlpm.data,'Base Stations Profiles'!$B:$T,
_xlpm.colSite,INDEX(_xlpm.data,,1),
_xlpm.colData,INDEX(_xlpm.data,,2),
_xlpm.rowRegion,MATCH(Q80,_xlpm.colSite,0),
_xlpm.rowUser,MATCH("Maximum Simultaneously Active Users per Site",_xlfn.DROP(_xlpm.colSite,_xlpm.rowRegion),0),
INDEX(_xlpm.colData,_xlpm.rowRegion+_xlpm.rowUser))</f>
        <v>400</v>
      </c>
      <c r="X80" s="124">
        <f>_xlfn.LET(
    _xlpm.data, 'Base Stations Profiles'!$B:$U,
    _xlpm.colSite, INDEX(_xlpm.data,,1),
    _xlpm.colauto, INDEX(_xlpm.data,,3),
    _xlpm.colData, INDEX(_xlpm.data,,2),
    _xlpm.rowRegion, MATCH(Q80, _xlpm.colSite, 0),
    _xlpm.rowThroughput, MATCH("Maximum Throughput for Downlink per Site", _xlfn.DROP(_xlpm.colSite, _xlpm.rowRegion), 0),
    IF(INDEX(_xlpm.colauto, _xlpm.rowRegion + _xlpm.rowThroughput)='Model Configurator Sup'!$M$4,VLOOKUP(Q80,'Base Stations Parameters'!$B:$T,4,0),INDEX(_xlpm.colData, _xlpm.rowRegion + _xlpm.rowThroughput))
)</f>
        <v>300</v>
      </c>
      <c r="Y80" s="106">
        <f ca="1">IF($V80&lt;=0,0,T80/(W80*$V80))</f>
        <v>1.5314974619289341</v>
      </c>
      <c r="Z80" s="106">
        <f ca="1">IF($V80&lt;=0,0,U80/(X80*$V80))</f>
        <v>0.60030817829504723</v>
      </c>
      <c r="AA80" s="130">
        <f>VLOOKUP(Q80,'Base Stations Parameters'!$B:$S,3,0)</f>
        <v>60000</v>
      </c>
      <c r="AB80">
        <f ca="1">ROUNDUP(MAX(T80/W80-V80,U80/X80-V80,0),0)</f>
        <v>53</v>
      </c>
      <c r="AC80" s="130">
        <f ca="1">AB80*AA80</f>
        <v>3180000</v>
      </c>
      <c r="AF80" s="69" t="s">
        <v>250</v>
      </c>
      <c r="AH80" s="125">
        <v>2.5000000000000001E-2</v>
      </c>
      <c r="AI80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)*AH80,0)</f>
        <v>102433</v>
      </c>
      <c r="AJ80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)*AH80</f>
        <v>24061.842390850652</v>
      </c>
      <c r="AK80" s="105">
        <f>INDEX('Sites per Region'!$A:$BD, MATCH(AF80,'Sites per Region'!$B:$B,0), MATCH(AG$66,'Sites per Region'!$8:$8, 0))</f>
        <v>98.5</v>
      </c>
      <c r="AL80" s="105">
        <f>_xlfn.LET(
_xlpm.data,'Base Stations Profiles'!$B:$AI,
_xlpm.colSite,INDEX(_xlpm.data,,1),
_xlpm.colData,INDEX(_xlpm.data,,2),
_xlpm.rowRegion,MATCH(AF80,_xlpm.colSite,0),
_xlpm.rowUser,MATCH("Maximum Simultaneously Active Users per Site",_xlfn.DROP(_xlpm.colSite,_xlpm.rowRegion),0),
INDEX(_xlpm.colData,_xlpm.rowRegion+_xlpm.rowUser))</f>
        <v>400</v>
      </c>
      <c r="AM80" s="124">
        <f>_xlfn.LET(
    _xlpm.data, 'Base Stations Profiles'!$B:$AJ,
    _xlpm.colSite, INDEX(_xlpm.data,,1),
    _xlpm.colauto, INDEX(_xlpm.data,,3),
    _xlpm.colData, INDEX(_xlpm.data,,2),
    _xlpm.rowRegion, MATCH(AF80, _xlpm.colSite, 0),
    _xlpm.rowThroughput, MATCH("Maximum Throughput for Downlink per Site", _xlfn.DROP(_xlpm.colSite, _xlpm.rowRegion), 0),
    IF(INDEX(_xlpm.colauto, _xlpm.rowRegion + _xlpm.rowThroughput)='Model Configurator Sup'!$M$4,VLOOKUP(AF80,'Base Stations Parameters'!$B:$AI,4,0),INDEX(_xlpm.colData, _xlpm.rowRegion + _xlpm.rowThroughput))
)</f>
        <v>300</v>
      </c>
      <c r="AN80" s="106">
        <f ca="1">IF($AK80&lt;=0,0,AI80/(AL80*$AK80))</f>
        <v>2.5998223350253808</v>
      </c>
      <c r="AO80" s="106">
        <f ca="1">IF($AK80&lt;=0,0,AJ80/(AM80*$AK80))</f>
        <v>0.8142755462216803</v>
      </c>
      <c r="AP80" s="130">
        <f>VLOOKUP(AF80,'Base Stations Parameters'!$B:$AH,3,0)</f>
        <v>60000</v>
      </c>
      <c r="AQ80">
        <f ca="1">ROUNDUP(MAX(AI80/AL80-AK80,AJ80/AM80-AK80,0),0)</f>
        <v>158</v>
      </c>
      <c r="AR80" s="130">
        <f ca="1">AQ80*AP80</f>
        <v>9480000</v>
      </c>
    </row>
    <row r="81" spans="2:44" ht="15.75" customHeight="1" thickBot="1" x14ac:dyDescent="0.3">
      <c r="B81" s="69" t="s">
        <v>174</v>
      </c>
      <c r="D81" s="125">
        <v>2.5000000000000001E-2</v>
      </c>
      <c r="E81" s="123">
        <f ca="1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)*D81,0)</f>
        <v>50169</v>
      </c>
      <c r="F81" s="122">
        <f ca="1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)*D81</f>
        <v>16077.240680589903</v>
      </c>
      <c r="G81" s="105">
        <f>INDEX('Sites per Region'!$A:$Z, MATCH(B81,'Sites per Region'!$B:$B,0), MATCH(C$66,'Sites per Region'!$8:$8, 0))</f>
        <v>98.5</v>
      </c>
      <c r="H81" s="105">
        <f>_xlfn.LET(
_xlpm.data,'Base Stations Profiles'!$B:$E,
_xlpm.colSite,INDEX(_xlpm.data,,1),
_xlpm.colData,INDEX(_xlpm.data,,2),
_xlpm.rowRegion,MATCH(B81,_xlpm.colSite,0),
_xlpm.rowUser,MATCH("Maximum Simultaneously Active Users per Site",_xlfn.DROP(_xlpm.colSite,_xlpm.rowRegion),0),
INDEX(_xlpm.colData,_xlpm.rowRegion+_xlpm.rowUser))</f>
        <v>400</v>
      </c>
      <c r="I81" s="124">
        <f>_xlfn.LET(
    _xlpm.data, 'Base Stations Profiles'!$B:$F,
    _xlpm.colSite, INDEX(_xlpm.data,,1),
    _xlpm.colauto, INDEX(_xlpm.data,,3),
    _xlpm.colData, INDEX(_xlpm.data,,2),
    _xlpm.rowRegion, MATCH(B81, _xlpm.colSite, 0),
    _xlpm.rowThroughput, MATCH("Maximum Throughput for Downlink per Site", _xlfn.DROP(_xlpm.colSite, _xlpm.rowRegion), 0),
    IF(INDEX(_xlpm.colauto, _xlpm.rowRegion + _xlpm.rowThroughput)='Model Configurator Sup'!$M$4,VLOOKUP(B81,'Base Stations Parameters'!$B:$E,4,0),INDEX(_xlpm.colData, _xlpm.rowRegion + _xlpm.rowThroughput))
)</f>
        <v>300</v>
      </c>
      <c r="J81" s="106">
        <f ca="1">IF($G81&lt;=0,0,E81/(H81*$G81))</f>
        <v>1.2733248730964466</v>
      </c>
      <c r="K81" s="106">
        <f ca="1">IF($G81&lt;=0,0,F81/(I81*$G81))</f>
        <v>0.54406905856480214</v>
      </c>
      <c r="L81" s="130">
        <f>VLOOKUP(B81,'Base Stations Parameters'!$B:$D,3,0)</f>
        <v>0</v>
      </c>
      <c r="M81">
        <f ca="1">ROUNDUP(MAX(E81/H81-G81,F81/I81-G81,0),0)</f>
        <v>27</v>
      </c>
      <c r="N81" s="130">
        <f ca="1">M81*L81</f>
        <v>0</v>
      </c>
      <c r="Q81" s="69" t="s">
        <v>174</v>
      </c>
      <c r="S81" s="125">
        <v>2.5000000000000001E-2</v>
      </c>
      <c r="T81" s="123">
        <f ca="1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)*S81,0)</f>
        <v>60341</v>
      </c>
      <c r="U81" s="122">
        <f ca="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)*S81</f>
        <v>17739.106668618646</v>
      </c>
      <c r="V81" s="105">
        <f>INDEX('Sites per Region'!$A:$AO, MATCH(Q81,'Sites per Region'!$B:$B,0), MATCH(R$66,'Sites per Region'!$8:$8, 0))</f>
        <v>98.5</v>
      </c>
      <c r="W81" s="105">
        <f>_xlfn.LET(
_xlpm.data,'Base Stations Profiles'!$B:$T,
_xlpm.colSite,INDEX(_xlpm.data,,1),
_xlpm.colData,INDEX(_xlpm.data,,2),
_xlpm.rowRegion,MATCH(Q81,_xlpm.colSite,0),
_xlpm.rowUser,MATCH("Maximum Simultaneously Active Users per Site",_xlfn.DROP(_xlpm.colSite,_xlpm.rowRegion),0),
INDEX(_xlpm.colData,_xlpm.rowRegion+_xlpm.rowUser))</f>
        <v>400</v>
      </c>
      <c r="X81" s="124">
        <f>_xlfn.LET(
    _xlpm.data, 'Base Stations Profiles'!$B:$U,
    _xlpm.colSite, INDEX(_xlpm.data,,1),
    _xlpm.colauto, INDEX(_xlpm.data,,3),
    _xlpm.colData, INDEX(_xlpm.data,,2),
    _xlpm.rowRegion, MATCH(Q81, _xlpm.colSite, 0),
    _xlpm.rowThroughput, MATCH("Maximum Throughput for Downlink per Site", _xlfn.DROP(_xlpm.colSite, _xlpm.rowRegion), 0),
    IF(INDEX(_xlpm.colauto, _xlpm.rowRegion + _xlpm.rowThroughput)='Model Configurator Sup'!$M$4,VLOOKUP(Q81,'Base Stations Parameters'!$B:$T,4,0),INDEX(_xlpm.colData, _xlpm.rowRegion + _xlpm.rowThroughput))
)</f>
        <v>300</v>
      </c>
      <c r="Y81" s="106">
        <f ca="1">IF($V81&lt;=0,0,T81/(W81*$V81))</f>
        <v>1.5314974619289341</v>
      </c>
      <c r="Z81" s="106">
        <f ca="1">IF($V81&lt;=0,0,U81/(X81*$V81))</f>
        <v>0.60030817829504723</v>
      </c>
      <c r="AA81" s="130">
        <f>VLOOKUP(Q81,'Base Stations Parameters'!$B:$S,3,0)</f>
        <v>0</v>
      </c>
      <c r="AB81">
        <f ca="1">ROUNDUP(MAX(T81/W81-V81,U81/X81-V81,0),0)</f>
        <v>53</v>
      </c>
      <c r="AC81" s="130">
        <f ca="1">AB81*AA81</f>
        <v>0</v>
      </c>
      <c r="AF81" s="69" t="s">
        <v>174</v>
      </c>
      <c r="AH81" s="125">
        <v>2.5000000000000001E-2</v>
      </c>
      <c r="AI81" s="123">
        <f ca="1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)*AH81,0)</f>
        <v>102433</v>
      </c>
      <c r="AJ81" s="122">
        <f ca="1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)*AH81</f>
        <v>24061.842390850652</v>
      </c>
      <c r="AK81" s="105">
        <f>INDEX('Sites per Region'!$A:$BD, MATCH(AF81,'Sites per Region'!$B:$B,0), MATCH(AG$66,'Sites per Region'!$8:$8, 0))</f>
        <v>98.5</v>
      </c>
      <c r="AL81" s="105">
        <f>_xlfn.LET(
_xlpm.data,'Base Stations Profiles'!$B:$AI,
_xlpm.colSite,INDEX(_xlpm.data,,1),
_xlpm.colData,INDEX(_xlpm.data,,2),
_xlpm.rowRegion,MATCH(AF81,_xlpm.colSite,0),
_xlpm.rowUser,MATCH("Maximum Simultaneously Active Users per Site",_xlfn.DROP(_xlpm.colSite,_xlpm.rowRegion),0),
INDEX(_xlpm.colData,_xlpm.rowRegion+_xlpm.rowUser))</f>
        <v>400</v>
      </c>
      <c r="AM81" s="124">
        <f>_xlfn.LET(
    _xlpm.data, 'Base Stations Profiles'!$B:$AJ,
    _xlpm.colSite, INDEX(_xlpm.data,,1),
    _xlpm.colauto, INDEX(_xlpm.data,,3),
    _xlpm.colData, INDEX(_xlpm.data,,2),
    _xlpm.rowRegion, MATCH(AF81, _xlpm.colSite, 0),
    _xlpm.rowThroughput, MATCH("Maximum Throughput for Downlink per Site", _xlfn.DROP(_xlpm.colSite, _xlpm.rowRegion), 0),
    IF(INDEX(_xlpm.colauto, _xlpm.rowRegion + _xlpm.rowThroughput)='Model Configurator Sup'!$M$4,VLOOKUP(AF81,'Base Stations Parameters'!$B:$AI,4,0),INDEX(_xlpm.colData, _xlpm.rowRegion + _xlpm.rowThroughput))
)</f>
        <v>300</v>
      </c>
      <c r="AN81" s="106">
        <f ca="1">IF($AK81&lt;=0,0,AI81/(AL81*$AK81))</f>
        <v>2.5998223350253808</v>
      </c>
      <c r="AO81" s="106">
        <f ca="1">IF($AK81&lt;=0,0,AJ81/(AM81*$AK81))</f>
        <v>0.8142755462216803</v>
      </c>
      <c r="AP81" s="130">
        <f>VLOOKUP(AF81,'Base Stations Parameters'!$B:$AH,3,0)</f>
        <v>0</v>
      </c>
      <c r="AQ81">
        <f ca="1">ROUNDUP(MAX(AI81/AL81-AK81,AJ81/AM81-AK81,0),0)</f>
        <v>158</v>
      </c>
      <c r="AR81" s="130">
        <f ca="1">AQ81*AP81</f>
        <v>0</v>
      </c>
    </row>
    <row r="82" spans="2:44" ht="15" customHeight="1" x14ac:dyDescent="0.25">
      <c r="B82" s="116" t="s">
        <v>182</v>
      </c>
      <c r="D82" s="126">
        <f>SUM(D70:D81)</f>
        <v>1</v>
      </c>
      <c r="E82" s="127">
        <f ca="1">SUM(E70:E81)</f>
        <v>2006760</v>
      </c>
      <c r="F82" s="128">
        <f ca="1">SUM(F70:F81)</f>
        <v>643089.62722359621</v>
      </c>
      <c r="H82" s="113"/>
      <c r="I82" s="115"/>
      <c r="L82" s="115"/>
      <c r="M82" s="129">
        <f ca="1">SUM(M70:M81)</f>
        <v>540</v>
      </c>
      <c r="N82" s="131">
        <f ca="1">SUM(N70:N81)</f>
        <v>54505000</v>
      </c>
      <c r="Q82" s="116" t="s">
        <v>182</v>
      </c>
      <c r="S82" s="126">
        <f>SUM(S70:S81)</f>
        <v>1</v>
      </c>
      <c r="T82" s="127">
        <f ca="1">SUM(T70:T81)</f>
        <v>2413640</v>
      </c>
      <c r="U82" s="128">
        <f ca="1">SUM(U70:U81)</f>
        <v>709564.26674474555</v>
      </c>
      <c r="W82" s="113"/>
      <c r="X82" s="115"/>
      <c r="AA82" s="115"/>
      <c r="AB82" s="129">
        <f ca="1">SUM(AB70:AB81)</f>
        <v>756</v>
      </c>
      <c r="AC82" s="131">
        <f ca="1">SUM(AC70:AC81)</f>
        <v>74105000</v>
      </c>
      <c r="AF82" s="116" t="s">
        <v>182</v>
      </c>
      <c r="AH82" s="126">
        <f>SUM(AH70:AH81)</f>
        <v>1</v>
      </c>
      <c r="AI82" s="127">
        <f ca="1">SUM(AI70:AI81)</f>
        <v>4097324</v>
      </c>
      <c r="AJ82" s="128">
        <f ca="1">SUM(AJ70:AJ81)</f>
        <v>962473.69563402608</v>
      </c>
      <c r="AL82" s="113"/>
      <c r="AM82" s="115"/>
      <c r="AP82" s="115"/>
      <c r="AQ82" s="129">
        <f ca="1">SUM(AQ70:AQ81)</f>
        <v>1948</v>
      </c>
      <c r="AR82" s="131">
        <f ca="1">SUM(AR70:AR81)</f>
        <v>191145000</v>
      </c>
    </row>
    <row r="84" spans="2:44" ht="15" customHeight="1" x14ac:dyDescent="0.25">
      <c r="C84">
        <v>2023</v>
      </c>
      <c r="R84">
        <v>2025</v>
      </c>
      <c r="AG84">
        <v>2030</v>
      </c>
    </row>
    <row r="85" spans="2:44" ht="20.100000000000001" customHeight="1" x14ac:dyDescent="0.25">
      <c r="C85" s="102" t="s">
        <v>14</v>
      </c>
      <c r="R85" s="102" t="s">
        <v>14</v>
      </c>
      <c r="AG85" s="102" t="s">
        <v>14</v>
      </c>
    </row>
    <row r="86" spans="2:44" ht="15" customHeight="1" thickBot="1" x14ac:dyDescent="0.3"/>
    <row r="87" spans="2:44" ht="15" customHeight="1" thickBot="1" x14ac:dyDescent="0.3">
      <c r="B87" s="138" t="s">
        <v>143</v>
      </c>
      <c r="C87" s="117"/>
      <c r="D87" s="152" t="s">
        <v>203</v>
      </c>
      <c r="E87" s="142" t="s">
        <v>218</v>
      </c>
      <c r="F87" s="144"/>
      <c r="G87" s="152" t="s">
        <v>215</v>
      </c>
      <c r="H87" s="142" t="s">
        <v>217</v>
      </c>
      <c r="I87" s="144"/>
      <c r="J87" s="142" t="s">
        <v>184</v>
      </c>
      <c r="K87" s="144"/>
      <c r="L87" s="142" t="s">
        <v>131</v>
      </c>
      <c r="M87" s="143"/>
      <c r="N87" s="144"/>
      <c r="Q87" s="138" t="s">
        <v>143</v>
      </c>
      <c r="R87" s="117"/>
      <c r="S87" s="152" t="s">
        <v>203</v>
      </c>
      <c r="T87" s="142" t="s">
        <v>218</v>
      </c>
      <c r="U87" s="144"/>
      <c r="V87" s="152" t="s">
        <v>215</v>
      </c>
      <c r="W87" s="142" t="s">
        <v>217</v>
      </c>
      <c r="X87" s="144"/>
      <c r="Y87" s="142" t="s">
        <v>184</v>
      </c>
      <c r="Z87" s="144"/>
      <c r="AA87" s="142" t="s">
        <v>131</v>
      </c>
      <c r="AB87" s="143"/>
      <c r="AC87" s="144"/>
      <c r="AF87" s="138" t="s">
        <v>143</v>
      </c>
      <c r="AG87" s="117"/>
      <c r="AH87" s="152" t="s">
        <v>203</v>
      </c>
      <c r="AI87" s="142" t="s">
        <v>218</v>
      </c>
      <c r="AJ87" s="144"/>
      <c r="AK87" s="152" t="s">
        <v>215</v>
      </c>
      <c r="AL87" s="142" t="s">
        <v>217</v>
      </c>
      <c r="AM87" s="144"/>
      <c r="AN87" s="142" t="s">
        <v>184</v>
      </c>
      <c r="AO87" s="144"/>
      <c r="AP87" s="142" t="s">
        <v>131</v>
      </c>
      <c r="AQ87" s="143"/>
      <c r="AR87" s="144"/>
    </row>
    <row r="88" spans="2:44" ht="30.75" customHeight="1" thickBot="1" x14ac:dyDescent="0.3">
      <c r="B88" s="139"/>
      <c r="C88" s="117"/>
      <c r="D88" s="153"/>
      <c r="E88" s="10" t="s">
        <v>185</v>
      </c>
      <c r="F88" s="10" t="s">
        <v>204</v>
      </c>
      <c r="G88" s="153"/>
      <c r="H88" s="10" t="s">
        <v>185</v>
      </c>
      <c r="I88" s="10" t="s">
        <v>204</v>
      </c>
      <c r="J88" s="10" t="s">
        <v>185</v>
      </c>
      <c r="K88" s="10" t="s">
        <v>204</v>
      </c>
      <c r="L88" s="10" t="s">
        <v>243</v>
      </c>
      <c r="M88" s="10" t="s">
        <v>195</v>
      </c>
      <c r="N88" s="10" t="s">
        <v>244</v>
      </c>
      <c r="Q88" s="139"/>
      <c r="R88" s="117"/>
      <c r="S88" s="153"/>
      <c r="T88" s="10" t="s">
        <v>185</v>
      </c>
      <c r="U88" s="10" t="s">
        <v>204</v>
      </c>
      <c r="V88" s="153"/>
      <c r="W88" s="10" t="s">
        <v>185</v>
      </c>
      <c r="X88" s="10" t="s">
        <v>204</v>
      </c>
      <c r="Y88" s="10" t="s">
        <v>185</v>
      </c>
      <c r="Z88" s="10" t="s">
        <v>204</v>
      </c>
      <c r="AA88" s="10" t="s">
        <v>243</v>
      </c>
      <c r="AB88" s="10" t="s">
        <v>195</v>
      </c>
      <c r="AC88" s="10" t="s">
        <v>244</v>
      </c>
      <c r="AF88" s="139"/>
      <c r="AG88" s="117"/>
      <c r="AH88" s="153"/>
      <c r="AI88" s="10" t="s">
        <v>185</v>
      </c>
      <c r="AJ88" s="10" t="s">
        <v>204</v>
      </c>
      <c r="AK88" s="153"/>
      <c r="AL88" s="10" t="s">
        <v>185</v>
      </c>
      <c r="AM88" s="10" t="s">
        <v>204</v>
      </c>
      <c r="AN88" s="10" t="s">
        <v>185</v>
      </c>
      <c r="AO88" s="10" t="s">
        <v>204</v>
      </c>
      <c r="AP88" s="10" t="s">
        <v>243</v>
      </c>
      <c r="AQ88" s="10" t="s">
        <v>195</v>
      </c>
      <c r="AR88" s="10" t="s">
        <v>244</v>
      </c>
    </row>
    <row r="89" spans="2:44" ht="15.75" customHeight="1" thickBot="1" x14ac:dyDescent="0.3">
      <c r="B89" s="69" t="s">
        <v>245</v>
      </c>
      <c r="D89" s="125">
        <v>0.15</v>
      </c>
      <c r="E89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)*D89,0)</f>
        <v>130472</v>
      </c>
      <c r="F89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)*D89</f>
        <v>41082.252848493095</v>
      </c>
      <c r="G89" s="105">
        <f>INDEX('Sites per Region'!$A:$Z, MATCH(B89,'Sites per Region'!$B:$B,0), MATCH(C$85,'Sites per Region'!$8:$8, 0))</f>
        <v>104</v>
      </c>
      <c r="H89" s="105">
        <f>_xlfn.LET(
_xlpm.data,'Base Stations Profiles'!$B:$E,
_xlpm.colSite,INDEX(_xlpm.data,,1),
_xlpm.colData,INDEX(_xlpm.data,,2),
_xlpm.rowRegion,MATCH(B89,_xlpm.colSite,0),
_xlpm.rowUser,MATCH("Maximum Simultaneously Active Users per Site",_xlfn.DROP(_xlpm.colSite,_xlpm.rowRegion),0),
INDEX(_xlpm.colData,_xlpm.rowRegion+_xlpm.rowUser))</f>
        <v>2500</v>
      </c>
      <c r="I89" s="124">
        <f>_xlfn.LET(
    _xlpm.data, 'Base Stations Profiles'!$B:$F,
    _xlpm.colSite, INDEX(_xlpm.data,,1),
    _xlpm.colauto, INDEX(_xlpm.data,,3),
    _xlpm.colData, INDEX(_xlpm.data,,2),
    _xlpm.rowRegion, MATCH(B89, _xlpm.colSite, 0),
    _xlpm.rowThroughput, MATCH("Maximum Throughput for Downlink per Site", _xlfn.DROP(_xlpm.colSite, _xlpm.rowRegion), 0),
    IF(INDEX(_xlpm.colauto, _xlpm.rowRegion + _xlpm.rowThroughput)='Model Configurator Sup'!$M$4,VLOOKUP(B89,'Base Stations Parameters'!$B:$E,4,0),INDEX(_xlpm.colData, _xlpm.rowRegion + _xlpm.rowThroughput))
)</f>
        <v>17000</v>
      </c>
      <c r="J89" s="106">
        <f ca="1">IF($G89&lt;=0,0,E89/(H89*$G89))</f>
        <v>0.50181538461538466</v>
      </c>
      <c r="K89" s="106">
        <f ca="1">IF($G89&lt;=0,0,F89/(I89*$G89))</f>
        <v>2.3236568353220077E-2</v>
      </c>
      <c r="L89" s="130">
        <f>VLOOKUP(B89,'Base Stations Parameters'!$B:$D,3,0)</f>
        <v>175000</v>
      </c>
      <c r="M89">
        <f ca="1">ROUNDUP(MAX(E89/H89-G89,F89/I89-G89,0),0)</f>
        <v>0</v>
      </c>
      <c r="N89" s="130">
        <f ca="1">M89*L89</f>
        <v>0</v>
      </c>
      <c r="Q89" s="69" t="s">
        <v>245</v>
      </c>
      <c r="S89" s="125">
        <v>0.15</v>
      </c>
      <c r="T89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)*S89,0)</f>
        <v>156896</v>
      </c>
      <c r="U89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)*S89</f>
        <v>45173.552243757404</v>
      </c>
      <c r="V89" s="105">
        <f>INDEX('Sites per Region'!$A:$AO, MATCH(Q89,'Sites per Region'!$B:$B,0), MATCH(R$85,'Sites per Region'!$8:$8, 0))</f>
        <v>104</v>
      </c>
      <c r="W89" s="105">
        <f>_xlfn.LET(
_xlpm.data,'Base Stations Profiles'!$B:$T,
_xlpm.colSite,INDEX(_xlpm.data,,1),
_xlpm.colData,INDEX(_xlpm.data,,2),
_xlpm.rowRegion,MATCH(Q89,_xlpm.colSite,0),
_xlpm.rowUser,MATCH("Maximum Simultaneously Active Users per Site",_xlfn.DROP(_xlpm.colSite,_xlpm.rowRegion),0),
INDEX(_xlpm.colData,_xlpm.rowRegion+_xlpm.rowUser))</f>
        <v>2500</v>
      </c>
      <c r="X89" s="124">
        <f>_xlfn.LET(
    _xlpm.data, 'Base Stations Profiles'!$B:$U,
    _xlpm.colSite, INDEX(_xlpm.data,,1),
    _xlpm.colauto, INDEX(_xlpm.data,,3),
    _xlpm.colData, INDEX(_xlpm.data,,2),
    _xlpm.rowRegion, MATCH(Q89, _xlpm.colSite, 0),
    _xlpm.rowThroughput, MATCH("Maximum Throughput for Downlink per Site", _xlfn.DROP(_xlpm.colSite, _xlpm.rowRegion), 0),
    IF(INDEX(_xlpm.colauto, _xlpm.rowRegion + _xlpm.rowThroughput)='Model Configurator Sup'!$M$4,VLOOKUP(Q89,'Base Stations Parameters'!$B:$T,4,0),INDEX(_xlpm.colData, _xlpm.rowRegion + _xlpm.rowThroughput))
)</f>
        <v>17000</v>
      </c>
      <c r="Y89" s="106">
        <f ca="1">IF($V89&lt;=0,0,T89/(W89*$V89))</f>
        <v>0.60344615384615385</v>
      </c>
      <c r="Z89" s="106">
        <f ca="1">IF($V89&lt;=0,0,U89/(X89*$V89))</f>
        <v>2.5550651721582242E-2</v>
      </c>
      <c r="AA89" s="130">
        <f>VLOOKUP(Q89,'Base Stations Parameters'!$B:$S,3,0)</f>
        <v>175000</v>
      </c>
      <c r="AB89">
        <f ca="1">ROUNDUP(MAX(T89/W89-V89,U89/X89-V89,0),0)</f>
        <v>0</v>
      </c>
      <c r="AC89" s="130">
        <f ca="1">AB89*AA89</f>
        <v>0</v>
      </c>
      <c r="AF89" s="69" t="s">
        <v>245</v>
      </c>
      <c r="AH89" s="125">
        <v>0.15</v>
      </c>
      <c r="AI89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)*AH89,0)</f>
        <v>266208</v>
      </c>
      <c r="AJ89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)*AH89</f>
        <v>60629.797453969513</v>
      </c>
      <c r="AK89" s="105">
        <f>INDEX('Sites per Region'!$A:$BD, MATCH(AF89,'Sites per Region'!$B:$B,0), MATCH(AG$85,'Sites per Region'!$8:$8, 0))</f>
        <v>104</v>
      </c>
      <c r="AL89" s="105">
        <f>_xlfn.LET(
_xlpm.data,'Base Stations Profiles'!$B:$AI,
_xlpm.colSite,INDEX(_xlpm.data,,1),
_xlpm.colData,INDEX(_xlpm.data,,2),
_xlpm.rowRegion,MATCH(AF89,_xlpm.colSite,0),
_xlpm.rowUser,MATCH("Maximum Simultaneously Active Users per Site",_xlfn.DROP(_xlpm.colSite,_xlpm.rowRegion),0),
INDEX(_xlpm.colData,_xlpm.rowRegion+_xlpm.rowUser))</f>
        <v>2500</v>
      </c>
      <c r="AM89" s="124">
        <f>_xlfn.LET(
    _xlpm.data, 'Base Stations Profiles'!$B:$AJ,
    _xlpm.colSite, INDEX(_xlpm.data,,1),
    _xlpm.colauto, INDEX(_xlpm.data,,3),
    _xlpm.colData, INDEX(_xlpm.data,,2),
    _xlpm.rowRegion, MATCH(AF89, _xlpm.colSite, 0),
    _xlpm.rowThroughput, MATCH("Maximum Throughput for Downlink per Site", _xlfn.DROP(_xlpm.colSite, _xlpm.rowRegion), 0),
    IF(INDEX(_xlpm.colauto, _xlpm.rowRegion + _xlpm.rowThroughput)='Model Configurator Sup'!$M$4,VLOOKUP(AF89,'Base Stations Parameters'!$B:$AI,4,0),INDEX(_xlpm.colData, _xlpm.rowRegion + _xlpm.rowThroughput))
)</f>
        <v>17000</v>
      </c>
      <c r="AN89" s="106">
        <f ca="1">IF($AK89&lt;=0,0,AI89/(AL89*$AK89))</f>
        <v>1.0238769230769231</v>
      </c>
      <c r="AO89" s="106">
        <f ca="1">IF($AK89&lt;=0,0,AJ89/(AM89*$AK89))</f>
        <v>3.429287186310493E-2</v>
      </c>
      <c r="AP89" s="130">
        <f>VLOOKUP(AF89,'Base Stations Parameters'!$B:$AH,3,0)</f>
        <v>175000</v>
      </c>
      <c r="AQ89">
        <f ca="1">ROUNDUP(MAX(AI89/AL89-AK89,AJ89/AM89-AK89,0),0)</f>
        <v>3</v>
      </c>
      <c r="AR89" s="130">
        <f ca="1">AQ89*AP89</f>
        <v>525000</v>
      </c>
    </row>
    <row r="90" spans="2:44" ht="15.75" customHeight="1" thickBot="1" x14ac:dyDescent="0.3">
      <c r="B90" s="69" t="s">
        <v>169</v>
      </c>
      <c r="D90" s="125">
        <v>0.15</v>
      </c>
      <c r="E90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)*D90,0)</f>
        <v>130472</v>
      </c>
      <c r="F90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)*D90</f>
        <v>41082.252848493095</v>
      </c>
      <c r="G90" s="105">
        <f>INDEX('Sites per Region'!$A:$Z, MATCH(B90,'Sites per Region'!$B:$B,0), MATCH(C$85,'Sites per Region'!$8:$8, 0))</f>
        <v>104</v>
      </c>
      <c r="H90" s="105">
        <f>_xlfn.LET(
_xlpm.data,'Base Stations Profiles'!$B:$E,
_xlpm.colSite,INDEX(_xlpm.data,,1),
_xlpm.colData,INDEX(_xlpm.data,,2),
_xlpm.rowRegion,MATCH(B90,_xlpm.colSite,0),
_xlpm.rowUser,MATCH("Maximum Simultaneously Active Users per Site",_xlfn.DROP(_xlpm.colSite,_xlpm.rowRegion),0),
INDEX(_xlpm.colData,_xlpm.rowRegion+_xlpm.rowUser))</f>
        <v>2500</v>
      </c>
      <c r="I90" s="124">
        <f>_xlfn.LET(
    _xlpm.data, 'Base Stations Profiles'!$B:$F,
    _xlpm.colSite, INDEX(_xlpm.data,,1),
    _xlpm.colauto, INDEX(_xlpm.data,,3),
    _xlpm.colData, INDEX(_xlpm.data,,2),
    _xlpm.rowRegion, MATCH(B90, _xlpm.colSite, 0),
    _xlpm.rowThroughput, MATCH("Maximum Throughput for Downlink per Site", _xlfn.DROP(_xlpm.colSite, _xlpm.rowRegion), 0),
    IF(INDEX(_xlpm.colauto, _xlpm.rowRegion + _xlpm.rowThroughput)='Model Configurator Sup'!$M$4,VLOOKUP(B90,'Base Stations Parameters'!$B:$E,4,0),INDEX(_xlpm.colData, _xlpm.rowRegion + _xlpm.rowThroughput))
)</f>
        <v>17000</v>
      </c>
      <c r="J90" s="106">
        <f ca="1">IF($G90&lt;=0,0,E90/(H90*$G90))</f>
        <v>0.50181538461538466</v>
      </c>
      <c r="K90" s="106">
        <f ca="1">IF($G90&lt;=0,0,F90/(I90*$G90))</f>
        <v>2.3236568353220077E-2</v>
      </c>
      <c r="L90" s="130">
        <f>VLOOKUP(B90,'Base Stations Parameters'!$B:$D,3,0)</f>
        <v>145000</v>
      </c>
      <c r="M90">
        <f ca="1">ROUNDUP(MAX(E90/H90-G90,F90/I90-G90,0),0)</f>
        <v>0</v>
      </c>
      <c r="N90" s="130">
        <f ca="1">M90*L90</f>
        <v>0</v>
      </c>
      <c r="Q90" s="69" t="s">
        <v>169</v>
      </c>
      <c r="S90" s="125">
        <v>0.15</v>
      </c>
      <c r="T90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)*S90,0)</f>
        <v>156896</v>
      </c>
      <c r="U90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)*S90</f>
        <v>45173.552243757404</v>
      </c>
      <c r="V90" s="105">
        <f>INDEX('Sites per Region'!$A:$AO, MATCH(Q90,'Sites per Region'!$B:$B,0), MATCH(R$85,'Sites per Region'!$8:$8, 0))</f>
        <v>104</v>
      </c>
      <c r="W90" s="105">
        <f>_xlfn.LET(
_xlpm.data,'Base Stations Profiles'!$B:$T,
_xlpm.colSite,INDEX(_xlpm.data,,1),
_xlpm.colData,INDEX(_xlpm.data,,2),
_xlpm.rowRegion,MATCH(Q90,_xlpm.colSite,0),
_xlpm.rowUser,MATCH("Maximum Simultaneously Active Users per Site",_xlfn.DROP(_xlpm.colSite,_xlpm.rowRegion),0),
INDEX(_xlpm.colData,_xlpm.rowRegion+_xlpm.rowUser))</f>
        <v>2500</v>
      </c>
      <c r="X90" s="124">
        <f>_xlfn.LET(
    _xlpm.data, 'Base Stations Profiles'!$B:$U,
    _xlpm.colSite, INDEX(_xlpm.data,,1),
    _xlpm.colauto, INDEX(_xlpm.data,,3),
    _xlpm.colData, INDEX(_xlpm.data,,2),
    _xlpm.rowRegion, MATCH(Q90, _xlpm.colSite, 0),
    _xlpm.rowThroughput, MATCH("Maximum Throughput for Downlink per Site", _xlfn.DROP(_xlpm.colSite, _xlpm.rowRegion), 0),
    IF(INDEX(_xlpm.colauto, _xlpm.rowRegion + _xlpm.rowThroughput)='Model Configurator Sup'!$M$4,VLOOKUP(Q90,'Base Stations Parameters'!$B:$T,4,0),INDEX(_xlpm.colData, _xlpm.rowRegion + _xlpm.rowThroughput))
)</f>
        <v>17000</v>
      </c>
      <c r="Y90" s="106">
        <f ca="1">IF($V90&lt;=0,0,T90/(W90*$V90))</f>
        <v>0.60344615384615385</v>
      </c>
      <c r="Z90" s="106">
        <f ca="1">IF($V90&lt;=0,0,U90/(X90*$V90))</f>
        <v>2.5550651721582242E-2</v>
      </c>
      <c r="AA90" s="130">
        <f>VLOOKUP(Q90,'Base Stations Parameters'!$B:$S,3,0)</f>
        <v>145000</v>
      </c>
      <c r="AB90">
        <f ca="1">ROUNDUP(MAX(T90/W90-V90,U90/X90-V90,0),0)</f>
        <v>0</v>
      </c>
      <c r="AC90" s="130">
        <f ca="1">AB90*AA90</f>
        <v>0</v>
      </c>
      <c r="AF90" s="69" t="s">
        <v>169</v>
      </c>
      <c r="AH90" s="125">
        <v>0.15</v>
      </c>
      <c r="AI90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)*AH90,0)</f>
        <v>266208</v>
      </c>
      <c r="AJ90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)*AH90</f>
        <v>60629.797453969513</v>
      </c>
      <c r="AK90" s="105">
        <f>INDEX('Sites per Region'!$A:$BD, MATCH(AF90,'Sites per Region'!$B:$B,0), MATCH(AG$85,'Sites per Region'!$8:$8, 0))</f>
        <v>104</v>
      </c>
      <c r="AL90" s="105">
        <f>_xlfn.LET(
_xlpm.data,'Base Stations Profiles'!$B:$AI,
_xlpm.colSite,INDEX(_xlpm.data,,1),
_xlpm.colData,INDEX(_xlpm.data,,2),
_xlpm.rowRegion,MATCH(AF90,_xlpm.colSite,0),
_xlpm.rowUser,MATCH("Maximum Simultaneously Active Users per Site",_xlfn.DROP(_xlpm.colSite,_xlpm.rowRegion),0),
INDEX(_xlpm.colData,_xlpm.rowRegion+_xlpm.rowUser))</f>
        <v>2500</v>
      </c>
      <c r="AM90" s="124">
        <f>_xlfn.LET(
    _xlpm.data, 'Base Stations Profiles'!$B:$AJ,
    _xlpm.colSite, INDEX(_xlpm.data,,1),
    _xlpm.colauto, INDEX(_xlpm.data,,3),
    _xlpm.colData, INDEX(_xlpm.data,,2),
    _xlpm.rowRegion, MATCH(AF90, _xlpm.colSite, 0),
    _xlpm.rowThroughput, MATCH("Maximum Throughput for Downlink per Site", _xlfn.DROP(_xlpm.colSite, _xlpm.rowRegion), 0),
    IF(INDEX(_xlpm.colauto, _xlpm.rowRegion + _xlpm.rowThroughput)='Model Configurator Sup'!$M$4,VLOOKUP(AF90,'Base Stations Parameters'!$B:$AI,4,0),INDEX(_xlpm.colData, _xlpm.rowRegion + _xlpm.rowThroughput))
)</f>
        <v>17000</v>
      </c>
      <c r="AN90" s="106">
        <f ca="1">IF($AK90&lt;=0,0,AI90/(AL90*$AK90))</f>
        <v>1.0238769230769231</v>
      </c>
      <c r="AO90" s="106">
        <f ca="1">IF($AK90&lt;=0,0,AJ90/(AM90*$AK90))</f>
        <v>3.429287186310493E-2</v>
      </c>
      <c r="AP90" s="130">
        <f>VLOOKUP(AF90,'Base Stations Parameters'!$B:$AH,3,0)</f>
        <v>145000</v>
      </c>
      <c r="AQ90">
        <f ca="1">ROUNDUP(MAX(AI90/AL90-AK90,AJ90/AM90-AK90,0),0)</f>
        <v>3</v>
      </c>
      <c r="AR90" s="130">
        <f ca="1">AQ90*AP90</f>
        <v>435000</v>
      </c>
    </row>
    <row r="91" spans="2:44" ht="15.75" customHeight="1" thickBot="1" x14ac:dyDescent="0.3">
      <c r="B91" s="69" t="s">
        <v>246</v>
      </c>
      <c r="D91" s="125">
        <v>0.15</v>
      </c>
      <c r="E91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)*D91,0)</f>
        <v>130472</v>
      </c>
      <c r="F91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)*D91</f>
        <v>41082.252848493095</v>
      </c>
      <c r="G91" s="105">
        <f>INDEX('Sites per Region'!$A:$Z, MATCH(B91,'Sites per Region'!$B:$B,0), MATCH(C$85,'Sites per Region'!$8:$8, 0))</f>
        <v>82</v>
      </c>
      <c r="H91" s="105">
        <f>_xlfn.LET(
_xlpm.data,'Base Stations Profiles'!$B:$E,
_xlpm.colSite,INDEX(_xlpm.data,,1),
_xlpm.colData,INDEX(_xlpm.data,,2),
_xlpm.rowRegion,MATCH(B91,_xlpm.colSite,0),
_xlpm.rowUser,MATCH("Maximum Simultaneously Active Users per Site",_xlfn.DROP(_xlpm.colSite,_xlpm.rowRegion),0),
INDEX(_xlpm.colData,_xlpm.rowRegion+_xlpm.rowUser))</f>
        <v>1500</v>
      </c>
      <c r="I91" s="124">
        <f>_xlfn.LET(
    _xlpm.data, 'Base Stations Profiles'!$B:$F,
    _xlpm.colSite, INDEX(_xlpm.data,,1),
    _xlpm.colauto, INDEX(_xlpm.data,,3),
    _xlpm.colData, INDEX(_xlpm.data,,2),
    _xlpm.rowRegion, MATCH(B91, _xlpm.colSite, 0),
    _xlpm.rowThroughput, MATCH("Maximum Throughput for Downlink per Site", _xlfn.DROP(_xlpm.colSite, _xlpm.rowRegion), 0),
    IF(INDEX(_xlpm.colauto, _xlpm.rowRegion + _xlpm.rowThroughput)='Model Configurator Sup'!$M$4,VLOOKUP(B91,'Base Stations Parameters'!$B:$E,4,0),INDEX(_xlpm.colData, _xlpm.rowRegion + _xlpm.rowThroughput))
)</f>
        <v>12000</v>
      </c>
      <c r="J91" s="106">
        <f ca="1">IF($G91&lt;=0,0,E91/(H91*$G91))</f>
        <v>1.0607479674796747</v>
      </c>
      <c r="K91" s="106">
        <f ca="1">IF($G91&lt;=0,0,F91/(I91*$G91))</f>
        <v>4.1750256959850705E-2</v>
      </c>
      <c r="L91" s="130">
        <f>VLOOKUP(B91,'Base Stations Parameters'!$B:$D,3,0)</f>
        <v>145000</v>
      </c>
      <c r="M91">
        <f ca="1">ROUNDUP(MAX(E91/H91-G91,F91/I91-G91,0),0)</f>
        <v>5</v>
      </c>
      <c r="N91" s="130">
        <f ca="1">M91*L91</f>
        <v>725000</v>
      </c>
      <c r="Q91" s="69" t="s">
        <v>246</v>
      </c>
      <c r="S91" s="125">
        <v>0.15</v>
      </c>
      <c r="T91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)*S91,0)</f>
        <v>156896</v>
      </c>
      <c r="U91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)*S91</f>
        <v>45173.552243757404</v>
      </c>
      <c r="V91" s="105">
        <f>INDEX('Sites per Region'!$A:$AO, MATCH(Q91,'Sites per Region'!$B:$B,0), MATCH(R$85,'Sites per Region'!$8:$8, 0))</f>
        <v>82</v>
      </c>
      <c r="W91" s="105">
        <f>_xlfn.LET(
_xlpm.data,'Base Stations Profiles'!$B:$T,
_xlpm.colSite,INDEX(_xlpm.data,,1),
_xlpm.colData,INDEX(_xlpm.data,,2),
_xlpm.rowRegion,MATCH(Q91,_xlpm.colSite,0),
_xlpm.rowUser,MATCH("Maximum Simultaneously Active Users per Site",_xlfn.DROP(_xlpm.colSite,_xlpm.rowRegion),0),
INDEX(_xlpm.colData,_xlpm.rowRegion+_xlpm.rowUser))</f>
        <v>1500</v>
      </c>
      <c r="X91" s="124">
        <f>_xlfn.LET(
    _xlpm.data, 'Base Stations Profiles'!$B:$U,
    _xlpm.colSite, INDEX(_xlpm.data,,1),
    _xlpm.colauto, INDEX(_xlpm.data,,3),
    _xlpm.colData, INDEX(_xlpm.data,,2),
    _xlpm.rowRegion, MATCH(Q91, _xlpm.colSite, 0),
    _xlpm.rowThroughput, MATCH("Maximum Throughput for Downlink per Site", _xlfn.DROP(_xlpm.colSite, _xlpm.rowRegion), 0),
    IF(INDEX(_xlpm.colauto, _xlpm.rowRegion + _xlpm.rowThroughput)='Model Configurator Sup'!$M$4,VLOOKUP(Q91,'Base Stations Parameters'!$B:$T,4,0),INDEX(_xlpm.colData, _xlpm.rowRegion + _xlpm.rowThroughput))
)</f>
        <v>12000</v>
      </c>
      <c r="Y91" s="106">
        <f ca="1">IF($V91&lt;=0,0,T91/(W91*$V91))</f>
        <v>1.2755772357723578</v>
      </c>
      <c r="Z91" s="106">
        <f ca="1">IF($V91&lt;=0,0,U91/(X91*$V91))</f>
        <v>4.5908081548533944E-2</v>
      </c>
      <c r="AA91" s="130">
        <f>VLOOKUP(Q91,'Base Stations Parameters'!$B:$S,3,0)</f>
        <v>145000</v>
      </c>
      <c r="AB91">
        <f ca="1">ROUNDUP(MAX(T91/W91-V91,U91/X91-V91,0),0)</f>
        <v>23</v>
      </c>
      <c r="AC91" s="130">
        <f ca="1">AB91*AA91</f>
        <v>3335000</v>
      </c>
      <c r="AF91" s="69" t="s">
        <v>246</v>
      </c>
      <c r="AH91" s="125">
        <v>0.15</v>
      </c>
      <c r="AI91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)*AH91,0)</f>
        <v>266208</v>
      </c>
      <c r="AJ91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)*AH91</f>
        <v>60629.797453969513</v>
      </c>
      <c r="AK91" s="105">
        <f>INDEX('Sites per Region'!$A:$BD, MATCH(AF91,'Sites per Region'!$B:$B,0), MATCH(AG$85,'Sites per Region'!$8:$8, 0))</f>
        <v>82</v>
      </c>
      <c r="AL91" s="105">
        <f>_xlfn.LET(
_xlpm.data,'Base Stations Profiles'!$B:$AI,
_xlpm.colSite,INDEX(_xlpm.data,,1),
_xlpm.colData,INDEX(_xlpm.data,,2),
_xlpm.rowRegion,MATCH(AF91,_xlpm.colSite,0),
_xlpm.rowUser,MATCH("Maximum Simultaneously Active Users per Site",_xlfn.DROP(_xlpm.colSite,_xlpm.rowRegion),0),
INDEX(_xlpm.colData,_xlpm.rowRegion+_xlpm.rowUser))</f>
        <v>1500</v>
      </c>
      <c r="AM91" s="124">
        <f>_xlfn.LET(
    _xlpm.data, 'Base Stations Profiles'!$B:$AJ,
    _xlpm.colSite, INDEX(_xlpm.data,,1),
    _xlpm.colauto, INDEX(_xlpm.data,,3),
    _xlpm.colData, INDEX(_xlpm.data,,2),
    _xlpm.rowRegion, MATCH(AF91, _xlpm.colSite, 0),
    _xlpm.rowThroughput, MATCH("Maximum Throughput for Downlink per Site", _xlfn.DROP(_xlpm.colSite, _xlpm.rowRegion), 0),
    IF(INDEX(_xlpm.colauto, _xlpm.rowRegion + _xlpm.rowThroughput)='Model Configurator Sup'!$M$4,VLOOKUP(AF91,'Base Stations Parameters'!$B:$AI,4,0),INDEX(_xlpm.colData, _xlpm.rowRegion + _xlpm.rowThroughput))
)</f>
        <v>12000</v>
      </c>
      <c r="AN91" s="106">
        <f ca="1">IF($AK91&lt;=0,0,AI91/(AL91*$AK91))</f>
        <v>2.1642926829268294</v>
      </c>
      <c r="AO91" s="106">
        <f ca="1">IF($AK91&lt;=0,0,AJ91/(AM91*$AK91))</f>
        <v>6.1615647819074706E-2</v>
      </c>
      <c r="AP91" s="130">
        <f>VLOOKUP(AF91,'Base Stations Parameters'!$B:$AH,3,0)</f>
        <v>145000</v>
      </c>
      <c r="AQ91">
        <f ca="1">ROUNDUP(MAX(AI91/AL91-AK91,AJ91/AM91-AK91,0),0)</f>
        <v>96</v>
      </c>
      <c r="AR91" s="130">
        <f ca="1">AQ91*AP91</f>
        <v>13920000</v>
      </c>
    </row>
    <row r="92" spans="2:44" ht="15.75" customHeight="1" thickBot="1" x14ac:dyDescent="0.3">
      <c r="B92" s="69" t="s">
        <v>170</v>
      </c>
      <c r="D92" s="125">
        <v>0.15</v>
      </c>
      <c r="E92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)*D92,0)</f>
        <v>130472</v>
      </c>
      <c r="F92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)*D92</f>
        <v>41082.252848493095</v>
      </c>
      <c r="G92" s="105">
        <f>INDEX('Sites per Region'!$A:$Z, MATCH(B92,'Sites per Region'!$B:$B,0), MATCH(C$85,'Sites per Region'!$8:$8, 0))</f>
        <v>82</v>
      </c>
      <c r="H92" s="105">
        <f>_xlfn.LET(
_xlpm.data,'Base Stations Profiles'!$B:$E,
_xlpm.colSite,INDEX(_xlpm.data,,1),
_xlpm.colData,INDEX(_xlpm.data,,2),
_xlpm.rowRegion,MATCH(B92,_xlpm.colSite,0),
_xlpm.rowUser,MATCH("Maximum Simultaneously Active Users per Site",_xlfn.DROP(_xlpm.colSite,_xlpm.rowRegion),0),
INDEX(_xlpm.colData,_xlpm.rowRegion+_xlpm.rowUser))</f>
        <v>1500</v>
      </c>
      <c r="I92" s="124">
        <f>_xlfn.LET(
    _xlpm.data, 'Base Stations Profiles'!$B:$F,
    _xlpm.colSite, INDEX(_xlpm.data,,1),
    _xlpm.colauto, INDEX(_xlpm.data,,3),
    _xlpm.colData, INDEX(_xlpm.data,,2),
    _xlpm.rowRegion, MATCH(B92, _xlpm.colSite, 0),
    _xlpm.rowThroughput, MATCH("Maximum Throughput for Downlink per Site", _xlfn.DROP(_xlpm.colSite, _xlpm.rowRegion), 0),
    IF(INDEX(_xlpm.colauto, _xlpm.rowRegion + _xlpm.rowThroughput)='Model Configurator Sup'!$M$4,VLOOKUP(B92,'Base Stations Parameters'!$B:$E,4,0),INDEX(_xlpm.colData, _xlpm.rowRegion + _xlpm.rowThroughput))
)</f>
        <v>12000</v>
      </c>
      <c r="J92" s="106">
        <f ca="1">IF($G92&lt;=0,0,E92/(H92*$G92))</f>
        <v>1.0607479674796747</v>
      </c>
      <c r="K92" s="106">
        <f ca="1">IF($G92&lt;=0,0,F92/(I92*$G92))</f>
        <v>4.1750256959850705E-2</v>
      </c>
      <c r="L92" s="130">
        <f>VLOOKUP(B92,'Base Stations Parameters'!$B:$D,3,0)</f>
        <v>100000</v>
      </c>
      <c r="M92">
        <f ca="1">ROUNDUP(MAX(E92/H92-G92,F92/I92-G92,0),0)</f>
        <v>5</v>
      </c>
      <c r="N92" s="130">
        <f ca="1">M92*L92</f>
        <v>500000</v>
      </c>
      <c r="Q92" s="69" t="s">
        <v>170</v>
      </c>
      <c r="S92" s="125">
        <v>0.15</v>
      </c>
      <c r="T92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)*S92,0)</f>
        <v>156896</v>
      </c>
      <c r="U92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)*S92</f>
        <v>45173.552243757404</v>
      </c>
      <c r="V92" s="105">
        <f>INDEX('Sites per Region'!$A:$AO, MATCH(Q92,'Sites per Region'!$B:$B,0), MATCH(R$85,'Sites per Region'!$8:$8, 0))</f>
        <v>82</v>
      </c>
      <c r="W92" s="105">
        <f>_xlfn.LET(
_xlpm.data,'Base Stations Profiles'!$B:$T,
_xlpm.colSite,INDEX(_xlpm.data,,1),
_xlpm.colData,INDEX(_xlpm.data,,2),
_xlpm.rowRegion,MATCH(Q92,_xlpm.colSite,0),
_xlpm.rowUser,MATCH("Maximum Simultaneously Active Users per Site",_xlfn.DROP(_xlpm.colSite,_xlpm.rowRegion),0),
INDEX(_xlpm.colData,_xlpm.rowRegion+_xlpm.rowUser))</f>
        <v>1500</v>
      </c>
      <c r="X92" s="124">
        <f>_xlfn.LET(
    _xlpm.data, 'Base Stations Profiles'!$B:$U,
    _xlpm.colSite, INDEX(_xlpm.data,,1),
    _xlpm.colauto, INDEX(_xlpm.data,,3),
    _xlpm.colData, INDEX(_xlpm.data,,2),
    _xlpm.rowRegion, MATCH(Q92, _xlpm.colSite, 0),
    _xlpm.rowThroughput, MATCH("Maximum Throughput for Downlink per Site", _xlfn.DROP(_xlpm.colSite, _xlpm.rowRegion), 0),
    IF(INDEX(_xlpm.colauto, _xlpm.rowRegion + _xlpm.rowThroughput)='Model Configurator Sup'!$M$4,VLOOKUP(Q92,'Base Stations Parameters'!$B:$T,4,0),INDEX(_xlpm.colData, _xlpm.rowRegion + _xlpm.rowThroughput))
)</f>
        <v>12000</v>
      </c>
      <c r="Y92" s="106">
        <f ca="1">IF($V92&lt;=0,0,T92/(W92*$V92))</f>
        <v>1.2755772357723578</v>
      </c>
      <c r="Z92" s="106">
        <f ca="1">IF($V92&lt;=0,0,U92/(X92*$V92))</f>
        <v>4.5908081548533944E-2</v>
      </c>
      <c r="AA92" s="130">
        <f>VLOOKUP(Q92,'Base Stations Parameters'!$B:$S,3,0)</f>
        <v>100000</v>
      </c>
      <c r="AB92">
        <f ca="1">ROUNDUP(MAX(T92/W92-V92,U92/X92-V92,0),0)</f>
        <v>23</v>
      </c>
      <c r="AC92" s="130">
        <f ca="1">AB92*AA92</f>
        <v>2300000</v>
      </c>
      <c r="AF92" s="69" t="s">
        <v>170</v>
      </c>
      <c r="AH92" s="125">
        <v>0.15</v>
      </c>
      <c r="AI92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)*AH92,0)</f>
        <v>266208</v>
      </c>
      <c r="AJ92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)*AH92</f>
        <v>60629.797453969513</v>
      </c>
      <c r="AK92" s="105">
        <f>INDEX('Sites per Region'!$A:$BD, MATCH(AF92,'Sites per Region'!$B:$B,0), MATCH(AG$85,'Sites per Region'!$8:$8, 0))</f>
        <v>82</v>
      </c>
      <c r="AL92" s="105">
        <f>_xlfn.LET(
_xlpm.data,'Base Stations Profiles'!$B:$AI,
_xlpm.colSite,INDEX(_xlpm.data,,1),
_xlpm.colData,INDEX(_xlpm.data,,2),
_xlpm.rowRegion,MATCH(AF92,_xlpm.colSite,0),
_xlpm.rowUser,MATCH("Maximum Simultaneously Active Users per Site",_xlfn.DROP(_xlpm.colSite,_xlpm.rowRegion),0),
INDEX(_xlpm.colData,_xlpm.rowRegion+_xlpm.rowUser))</f>
        <v>1500</v>
      </c>
      <c r="AM92" s="124">
        <f>_xlfn.LET(
    _xlpm.data, 'Base Stations Profiles'!$B:$AJ,
    _xlpm.colSite, INDEX(_xlpm.data,,1),
    _xlpm.colauto, INDEX(_xlpm.data,,3),
    _xlpm.colData, INDEX(_xlpm.data,,2),
    _xlpm.rowRegion, MATCH(AF92, _xlpm.colSite, 0),
    _xlpm.rowThroughput, MATCH("Maximum Throughput for Downlink per Site", _xlfn.DROP(_xlpm.colSite, _xlpm.rowRegion), 0),
    IF(INDEX(_xlpm.colauto, _xlpm.rowRegion + _xlpm.rowThroughput)='Model Configurator Sup'!$M$4,VLOOKUP(AF92,'Base Stations Parameters'!$B:$AI,4,0),INDEX(_xlpm.colData, _xlpm.rowRegion + _xlpm.rowThroughput))
)</f>
        <v>12000</v>
      </c>
      <c r="AN92" s="106">
        <f ca="1">IF($AK92&lt;=0,0,AI92/(AL92*$AK92))</f>
        <v>2.1642926829268294</v>
      </c>
      <c r="AO92" s="106">
        <f ca="1">IF($AK92&lt;=0,0,AJ92/(AM92*$AK92))</f>
        <v>6.1615647819074706E-2</v>
      </c>
      <c r="AP92" s="130">
        <f>VLOOKUP(AF92,'Base Stations Parameters'!$B:$AH,3,0)</f>
        <v>100000</v>
      </c>
      <c r="AQ92">
        <f ca="1">ROUNDUP(MAX(AI92/AL92-AK92,AJ92/AM92-AK92,0),0)</f>
        <v>96</v>
      </c>
      <c r="AR92" s="130">
        <f ca="1">AQ92*AP92</f>
        <v>9600000</v>
      </c>
    </row>
    <row r="93" spans="2:44" ht="15.75" customHeight="1" thickBot="1" x14ac:dyDescent="0.3">
      <c r="B93" s="69" t="s">
        <v>247</v>
      </c>
      <c r="D93" s="125">
        <v>7.4999999999999997E-2</v>
      </c>
      <c r="E93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)*D93,0)</f>
        <v>65236</v>
      </c>
      <c r="F93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)*D93</f>
        <v>20541.126424246548</v>
      </c>
      <c r="G93" s="105">
        <f>INDEX('Sites per Region'!$A:$Z, MATCH(B93,'Sites per Region'!$B:$B,0), MATCH(C$85,'Sites per Region'!$8:$8, 0))</f>
        <v>76</v>
      </c>
      <c r="H93" s="105">
        <f>_xlfn.LET(
_xlpm.data,'Base Stations Profiles'!$B:$E,
_xlpm.colSite,INDEX(_xlpm.data,,1),
_xlpm.colData,INDEX(_xlpm.data,,2),
_xlpm.rowRegion,MATCH(B93,_xlpm.colSite,0),
_xlpm.rowUser,MATCH("Maximum Simultaneously Active Users per Site",_xlfn.DROP(_xlpm.colSite,_xlpm.rowRegion),0),
INDEX(_xlpm.colData,_xlpm.rowRegion+_xlpm.rowUser))</f>
        <v>750</v>
      </c>
      <c r="I93" s="124">
        <f>_xlfn.LET(
    _xlpm.data, 'Base Stations Profiles'!$B:$F,
    _xlpm.colSite, INDEX(_xlpm.data,,1),
    _xlpm.colauto, INDEX(_xlpm.data,,3),
    _xlpm.colData, INDEX(_xlpm.data,,2),
    _xlpm.rowRegion, MATCH(B93, _xlpm.colSite, 0),
    _xlpm.rowThroughput, MATCH("Maximum Throughput for Downlink per Site", _xlfn.DROP(_xlpm.colSite, _xlpm.rowRegion), 0),
    IF(INDEX(_xlpm.colauto, _xlpm.rowRegion + _xlpm.rowThroughput)='Model Configurator Sup'!$M$4,VLOOKUP(B93,'Base Stations Parameters'!$B:$E,4,0),INDEX(_xlpm.colData, _xlpm.rowRegion + _xlpm.rowThroughput))
)</f>
        <v>5000</v>
      </c>
      <c r="J93" s="106">
        <f ca="1">IF($G93&lt;=0,0,E93/(H93*$G93))</f>
        <v>1.1444912280701753</v>
      </c>
      <c r="K93" s="106">
        <f ca="1">IF($G93&lt;=0,0,F93/(I93*$G93))</f>
        <v>5.4055595853280389E-2</v>
      </c>
      <c r="L93" s="130">
        <f>VLOOKUP(B93,'Base Stations Parameters'!$B:$D,3,0)</f>
        <v>100000</v>
      </c>
      <c r="M93">
        <f ca="1">ROUNDUP(MAX(E93/H93-G93,F93/I93-G93,0),0)</f>
        <v>11</v>
      </c>
      <c r="N93" s="130">
        <f ca="1">M93*L93</f>
        <v>1100000</v>
      </c>
      <c r="Q93" s="69" t="s">
        <v>247</v>
      </c>
      <c r="S93" s="125">
        <v>7.4999999999999997E-2</v>
      </c>
      <c r="T93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)*S93,0)</f>
        <v>78448</v>
      </c>
      <c r="U93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)*S93</f>
        <v>22586.776121878702</v>
      </c>
      <c r="V93" s="105">
        <f>INDEX('Sites per Region'!$A:$AO, MATCH(Q93,'Sites per Region'!$B:$B,0), MATCH(R$85,'Sites per Region'!$8:$8, 0))</f>
        <v>76</v>
      </c>
      <c r="W93" s="105">
        <f>_xlfn.LET(
_xlpm.data,'Base Stations Profiles'!$B:$T,
_xlpm.colSite,INDEX(_xlpm.data,,1),
_xlpm.colData,INDEX(_xlpm.data,,2),
_xlpm.rowRegion,MATCH(Q93,_xlpm.colSite,0),
_xlpm.rowUser,MATCH("Maximum Simultaneously Active Users per Site",_xlfn.DROP(_xlpm.colSite,_xlpm.rowRegion),0),
INDEX(_xlpm.colData,_xlpm.rowRegion+_xlpm.rowUser))</f>
        <v>750</v>
      </c>
      <c r="X93" s="124">
        <f>_xlfn.LET(
    _xlpm.data, 'Base Stations Profiles'!$B:$U,
    _xlpm.colSite, INDEX(_xlpm.data,,1),
    _xlpm.colauto, INDEX(_xlpm.data,,3),
    _xlpm.colData, INDEX(_xlpm.data,,2),
    _xlpm.rowRegion, MATCH(Q93, _xlpm.colSite, 0),
    _xlpm.rowThroughput, MATCH("Maximum Throughput for Downlink per Site", _xlfn.DROP(_xlpm.colSite, _xlpm.rowRegion), 0),
    IF(INDEX(_xlpm.colauto, _xlpm.rowRegion + _xlpm.rowThroughput)='Model Configurator Sup'!$M$4,VLOOKUP(Q93,'Base Stations Parameters'!$B:$T,4,0),INDEX(_xlpm.colData, _xlpm.rowRegion + _xlpm.rowThroughput))
)</f>
        <v>5000</v>
      </c>
      <c r="Y93" s="106">
        <f ca="1">IF($V93&lt;=0,0,T93/(W93*$V93))</f>
        <v>1.3762807017543859</v>
      </c>
      <c r="Z93" s="106">
        <f ca="1">IF($V93&lt;=0,0,U93/(X93*$V93))</f>
        <v>5.9438884531259742E-2</v>
      </c>
      <c r="AA93" s="130">
        <f>VLOOKUP(Q93,'Base Stations Parameters'!$B:$S,3,0)</f>
        <v>100000</v>
      </c>
      <c r="AB93">
        <f ca="1">ROUNDUP(MAX(T93/W93-V93,U93/X93-V93,0),0)</f>
        <v>29</v>
      </c>
      <c r="AC93" s="130">
        <f ca="1">AB93*AA93</f>
        <v>2900000</v>
      </c>
      <c r="AF93" s="69" t="s">
        <v>247</v>
      </c>
      <c r="AH93" s="125">
        <v>7.4999999999999997E-2</v>
      </c>
      <c r="AI93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)*AH93,0)</f>
        <v>133104</v>
      </c>
      <c r="AJ93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)*AH93</f>
        <v>30314.898726984757</v>
      </c>
      <c r="AK93" s="105">
        <f>INDEX('Sites per Region'!$A:$BD, MATCH(AF93,'Sites per Region'!$B:$B,0), MATCH(AG$85,'Sites per Region'!$8:$8, 0))</f>
        <v>76</v>
      </c>
      <c r="AL93" s="105">
        <f>_xlfn.LET(
_xlpm.data,'Base Stations Profiles'!$B:$AI,
_xlpm.colSite,INDEX(_xlpm.data,,1),
_xlpm.colData,INDEX(_xlpm.data,,2),
_xlpm.rowRegion,MATCH(AF93,_xlpm.colSite,0),
_xlpm.rowUser,MATCH("Maximum Simultaneously Active Users per Site",_xlfn.DROP(_xlpm.colSite,_xlpm.rowRegion),0),
INDEX(_xlpm.colData,_xlpm.rowRegion+_xlpm.rowUser))</f>
        <v>750</v>
      </c>
      <c r="AM93" s="124">
        <f>_xlfn.LET(
    _xlpm.data, 'Base Stations Profiles'!$B:$AJ,
    _xlpm.colSite, INDEX(_xlpm.data,,1),
    _xlpm.colauto, INDEX(_xlpm.data,,3),
    _xlpm.colData, INDEX(_xlpm.data,,2),
    _xlpm.rowRegion, MATCH(AF93, _xlpm.colSite, 0),
    _xlpm.rowThroughput, MATCH("Maximum Throughput for Downlink per Site", _xlfn.DROP(_xlpm.colSite, _xlpm.rowRegion), 0),
    IF(INDEX(_xlpm.colauto, _xlpm.rowRegion + _xlpm.rowThroughput)='Model Configurator Sup'!$M$4,VLOOKUP(AF93,'Base Stations Parameters'!$B:$AI,4,0),INDEX(_xlpm.colData, _xlpm.rowRegion + _xlpm.rowThroughput))
)</f>
        <v>5000</v>
      </c>
      <c r="AN93" s="106">
        <f ca="1">IF($AK93&lt;=0,0,AI93/(AL93*$AK93))</f>
        <v>2.3351578947368421</v>
      </c>
      <c r="AO93" s="106">
        <f ca="1">IF($AK93&lt;=0,0,AJ93/(AM93*$AK93))</f>
        <v>7.9776049281538836E-2</v>
      </c>
      <c r="AP93" s="130">
        <f>VLOOKUP(AF93,'Base Stations Parameters'!$B:$AH,3,0)</f>
        <v>100000</v>
      </c>
      <c r="AQ93">
        <f ca="1">ROUNDUP(MAX(AI93/AL93-AK93,AJ93/AM93-AK93,0),0)</f>
        <v>102</v>
      </c>
      <c r="AR93" s="130">
        <f ca="1">AQ93*AP93</f>
        <v>10200000</v>
      </c>
    </row>
    <row r="94" spans="2:44" ht="15.75" customHeight="1" thickBot="1" x14ac:dyDescent="0.3">
      <c r="B94" s="69" t="s">
        <v>171</v>
      </c>
      <c r="D94" s="125">
        <v>7.4999999999999997E-2</v>
      </c>
      <c r="E94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)*D94,0)</f>
        <v>65236</v>
      </c>
      <c r="F94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)*D94</f>
        <v>20541.126424246548</v>
      </c>
      <c r="G94" s="105">
        <f>INDEX('Sites per Region'!$A:$Z, MATCH(B94,'Sites per Region'!$B:$B,0), MATCH(C$85,'Sites per Region'!$8:$8, 0))</f>
        <v>76</v>
      </c>
      <c r="H94" s="105">
        <f>_xlfn.LET(
_xlpm.data,'Base Stations Profiles'!$B:$E,
_xlpm.colSite,INDEX(_xlpm.data,,1),
_xlpm.colData,INDEX(_xlpm.data,,2),
_xlpm.rowRegion,MATCH(B94,_xlpm.colSite,0),
_xlpm.rowUser,MATCH("Maximum Simultaneously Active Users per Site",_xlfn.DROP(_xlpm.colSite,_xlpm.rowRegion),0),
INDEX(_xlpm.colData,_xlpm.rowRegion+_xlpm.rowUser))</f>
        <v>750</v>
      </c>
      <c r="I94" s="124">
        <f>_xlfn.LET(
    _xlpm.data, 'Base Stations Profiles'!$B:$F,
    _xlpm.colSite, INDEX(_xlpm.data,,1),
    _xlpm.colauto, INDEX(_xlpm.data,,3),
    _xlpm.colData, INDEX(_xlpm.data,,2),
    _xlpm.rowRegion, MATCH(B94, _xlpm.colSite, 0),
    _xlpm.rowThroughput, MATCH("Maximum Throughput for Downlink per Site", _xlfn.DROP(_xlpm.colSite, _xlpm.rowRegion), 0),
    IF(INDEX(_xlpm.colauto, _xlpm.rowRegion + _xlpm.rowThroughput)='Model Configurator Sup'!$M$4,VLOOKUP(B94,'Base Stations Parameters'!$B:$E,4,0),INDEX(_xlpm.colData, _xlpm.rowRegion + _xlpm.rowThroughput))
)</f>
        <v>5000</v>
      </c>
      <c r="J94" s="106">
        <f ca="1">IF($G94&lt;=0,0,E94/(H94*$G94))</f>
        <v>1.1444912280701753</v>
      </c>
      <c r="K94" s="106">
        <f ca="1">IF($G94&lt;=0,0,F94/(I94*$G94))</f>
        <v>5.4055595853280389E-2</v>
      </c>
      <c r="L94" s="130">
        <f>VLOOKUP(B94,'Base Stations Parameters'!$B:$D,3,0)</f>
        <v>95000</v>
      </c>
      <c r="M94">
        <f ca="1">ROUNDUP(MAX(E94/H94-G94,F94/I94-G94,0),0)</f>
        <v>11</v>
      </c>
      <c r="N94" s="130">
        <f ca="1">M94*L94</f>
        <v>1045000</v>
      </c>
      <c r="Q94" s="69" t="s">
        <v>171</v>
      </c>
      <c r="S94" s="125">
        <v>7.4999999999999997E-2</v>
      </c>
      <c r="T94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)*S94,0)</f>
        <v>78448</v>
      </c>
      <c r="U94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)*S94</f>
        <v>22586.776121878702</v>
      </c>
      <c r="V94" s="105">
        <f>INDEX('Sites per Region'!$A:$AO, MATCH(Q94,'Sites per Region'!$B:$B,0), MATCH(R$85,'Sites per Region'!$8:$8, 0))</f>
        <v>76</v>
      </c>
      <c r="W94" s="105">
        <f>_xlfn.LET(
_xlpm.data,'Base Stations Profiles'!$B:$T,
_xlpm.colSite,INDEX(_xlpm.data,,1),
_xlpm.colData,INDEX(_xlpm.data,,2),
_xlpm.rowRegion,MATCH(Q94,_xlpm.colSite,0),
_xlpm.rowUser,MATCH("Maximum Simultaneously Active Users per Site",_xlfn.DROP(_xlpm.colSite,_xlpm.rowRegion),0),
INDEX(_xlpm.colData,_xlpm.rowRegion+_xlpm.rowUser))</f>
        <v>750</v>
      </c>
      <c r="X94" s="124">
        <f>_xlfn.LET(
    _xlpm.data, 'Base Stations Profiles'!$B:$U,
    _xlpm.colSite, INDEX(_xlpm.data,,1),
    _xlpm.colauto, INDEX(_xlpm.data,,3),
    _xlpm.colData, INDEX(_xlpm.data,,2),
    _xlpm.rowRegion, MATCH(Q94, _xlpm.colSite, 0),
    _xlpm.rowThroughput, MATCH("Maximum Throughput for Downlink per Site", _xlfn.DROP(_xlpm.colSite, _xlpm.rowRegion), 0),
    IF(INDEX(_xlpm.colauto, _xlpm.rowRegion + _xlpm.rowThroughput)='Model Configurator Sup'!$M$4,VLOOKUP(Q94,'Base Stations Parameters'!$B:$T,4,0),INDEX(_xlpm.colData, _xlpm.rowRegion + _xlpm.rowThroughput))
)</f>
        <v>5000</v>
      </c>
      <c r="Y94" s="106">
        <f ca="1">IF($V94&lt;=0,0,T94/(W94*$V94))</f>
        <v>1.3762807017543859</v>
      </c>
      <c r="Z94" s="106">
        <f ca="1">IF($V94&lt;=0,0,U94/(X94*$V94))</f>
        <v>5.9438884531259742E-2</v>
      </c>
      <c r="AA94" s="130">
        <f>VLOOKUP(Q94,'Base Stations Parameters'!$B:$S,3,0)</f>
        <v>95000</v>
      </c>
      <c r="AB94">
        <f ca="1">ROUNDUP(MAX(T94/W94-V94,U94/X94-V94,0),0)</f>
        <v>29</v>
      </c>
      <c r="AC94" s="130">
        <f ca="1">AB94*AA94</f>
        <v>2755000</v>
      </c>
      <c r="AF94" s="69" t="s">
        <v>171</v>
      </c>
      <c r="AH94" s="125">
        <v>7.4999999999999997E-2</v>
      </c>
      <c r="AI94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)*AH94,0)</f>
        <v>133104</v>
      </c>
      <c r="AJ94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)*AH94</f>
        <v>30314.898726984757</v>
      </c>
      <c r="AK94" s="105">
        <f>INDEX('Sites per Region'!$A:$BD, MATCH(AF94,'Sites per Region'!$B:$B,0), MATCH(AG$85,'Sites per Region'!$8:$8, 0))</f>
        <v>76</v>
      </c>
      <c r="AL94" s="105">
        <f>_xlfn.LET(
_xlpm.data,'Base Stations Profiles'!$B:$AI,
_xlpm.colSite,INDEX(_xlpm.data,,1),
_xlpm.colData,INDEX(_xlpm.data,,2),
_xlpm.rowRegion,MATCH(AF94,_xlpm.colSite,0),
_xlpm.rowUser,MATCH("Maximum Simultaneously Active Users per Site",_xlfn.DROP(_xlpm.colSite,_xlpm.rowRegion),0),
INDEX(_xlpm.colData,_xlpm.rowRegion+_xlpm.rowUser))</f>
        <v>750</v>
      </c>
      <c r="AM94" s="124">
        <f>_xlfn.LET(
    _xlpm.data, 'Base Stations Profiles'!$B:$AJ,
    _xlpm.colSite, INDEX(_xlpm.data,,1),
    _xlpm.colauto, INDEX(_xlpm.data,,3),
    _xlpm.colData, INDEX(_xlpm.data,,2),
    _xlpm.rowRegion, MATCH(AF94, _xlpm.colSite, 0),
    _xlpm.rowThroughput, MATCH("Maximum Throughput for Downlink per Site", _xlfn.DROP(_xlpm.colSite, _xlpm.rowRegion), 0),
    IF(INDEX(_xlpm.colauto, _xlpm.rowRegion + _xlpm.rowThroughput)='Model Configurator Sup'!$M$4,VLOOKUP(AF94,'Base Stations Parameters'!$B:$AI,4,0),INDEX(_xlpm.colData, _xlpm.rowRegion + _xlpm.rowThroughput))
)</f>
        <v>5000</v>
      </c>
      <c r="AN94" s="106">
        <f ca="1">IF($AK94&lt;=0,0,AI94/(AL94*$AK94))</f>
        <v>2.3351578947368421</v>
      </c>
      <c r="AO94" s="106">
        <f ca="1">IF($AK94&lt;=0,0,AJ94/(AM94*$AK94))</f>
        <v>7.9776049281538836E-2</v>
      </c>
      <c r="AP94" s="130">
        <f>VLOOKUP(AF94,'Base Stations Parameters'!$B:$AH,3,0)</f>
        <v>95000</v>
      </c>
      <c r="AQ94">
        <f ca="1">ROUNDUP(MAX(AI94/AL94-AK94,AJ94/AM94-AK94,0),0)</f>
        <v>102</v>
      </c>
      <c r="AR94" s="130">
        <f ca="1">AQ94*AP94</f>
        <v>9690000</v>
      </c>
    </row>
    <row r="95" spans="2:44" ht="15.75" customHeight="1" thickBot="1" x14ac:dyDescent="0.3">
      <c r="B95" s="69" t="s">
        <v>248</v>
      </c>
      <c r="D95" s="125">
        <v>0.05</v>
      </c>
      <c r="E95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)*D95,0)</f>
        <v>43490</v>
      </c>
      <c r="F95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)*D95</f>
        <v>13694.084282831034</v>
      </c>
      <c r="G95" s="105">
        <f>INDEX('Sites per Region'!$A:$Z, MATCH(B95,'Sites per Region'!$B:$B,0), MATCH(C$85,'Sites per Region'!$8:$8, 0))</f>
        <v>114</v>
      </c>
      <c r="H95" s="105">
        <f>_xlfn.LET(
_xlpm.data,'Base Stations Profiles'!$B:$E,
_xlpm.colSite,INDEX(_xlpm.data,,1),
_xlpm.colData,INDEX(_xlpm.data,,2),
_xlpm.rowRegion,MATCH(B95,_xlpm.colSite,0),
_xlpm.rowUser,MATCH("Maximum Simultaneously Active Users per Site",_xlfn.DROP(_xlpm.colSite,_xlpm.rowRegion),0),
INDEX(_xlpm.colData,_xlpm.rowRegion+_xlpm.rowUser))</f>
        <v>1500</v>
      </c>
      <c r="I95" s="124">
        <f>_xlfn.LET(
    _xlpm.data, 'Base Stations Profiles'!$B:$F,
    _xlpm.colSite, INDEX(_xlpm.data,,1),
    _xlpm.colauto, INDEX(_xlpm.data,,3),
    _xlpm.colData, INDEX(_xlpm.data,,2),
    _xlpm.rowRegion, MATCH(B95, _xlpm.colSite, 0),
    _xlpm.rowThroughput, MATCH("Maximum Throughput for Downlink per Site", _xlfn.DROP(_xlpm.colSite, _xlpm.rowRegion), 0),
    IF(INDEX(_xlpm.colauto, _xlpm.rowRegion + _xlpm.rowThroughput)='Model Configurator Sup'!$M$4,VLOOKUP(B95,'Base Stations Parameters'!$B:$E,4,0),INDEX(_xlpm.colData, _xlpm.rowRegion + _xlpm.rowThroughput))
)</f>
        <v>2000</v>
      </c>
      <c r="J95" s="106">
        <f ca="1">IF($G95&lt;=0,0,E95/(H95*$G95))</f>
        <v>0.25432748538011696</v>
      </c>
      <c r="K95" s="106">
        <f ca="1">IF($G95&lt;=0,0,F95/(I95*$G95))</f>
        <v>6.0061773170311555E-2</v>
      </c>
      <c r="L95" s="130">
        <f>VLOOKUP(B95,'Base Stations Parameters'!$B:$D,3,0)</f>
        <v>95000</v>
      </c>
      <c r="M95">
        <f ca="1">ROUNDUP(MAX(E95/H95-G95,F95/I95-G95,0),0)</f>
        <v>0</v>
      </c>
      <c r="N95" s="130">
        <f ca="1">M95*L95</f>
        <v>0</v>
      </c>
      <c r="Q95" s="69" t="s">
        <v>248</v>
      </c>
      <c r="S95" s="125">
        <v>0.05</v>
      </c>
      <c r="T95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)*S95,0)</f>
        <v>52298</v>
      </c>
      <c r="U95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)*S95</f>
        <v>15057.850747919136</v>
      </c>
      <c r="V95" s="105">
        <f>INDEX('Sites per Region'!$A:$AO, MATCH(Q95,'Sites per Region'!$B:$B,0), MATCH(R$85,'Sites per Region'!$8:$8, 0))</f>
        <v>114</v>
      </c>
      <c r="W95" s="105">
        <f>_xlfn.LET(
_xlpm.data,'Base Stations Profiles'!$B:$T,
_xlpm.colSite,INDEX(_xlpm.data,,1),
_xlpm.colData,INDEX(_xlpm.data,,2),
_xlpm.rowRegion,MATCH(Q95,_xlpm.colSite,0),
_xlpm.rowUser,MATCH("Maximum Simultaneously Active Users per Site",_xlfn.DROP(_xlpm.colSite,_xlpm.rowRegion),0),
INDEX(_xlpm.colData,_xlpm.rowRegion+_xlpm.rowUser))</f>
        <v>1500</v>
      </c>
      <c r="X95" s="124">
        <f>_xlfn.LET(
    _xlpm.data, 'Base Stations Profiles'!$B:$U,
    _xlpm.colSite, INDEX(_xlpm.data,,1),
    _xlpm.colauto, INDEX(_xlpm.data,,3),
    _xlpm.colData, INDEX(_xlpm.data,,2),
    _xlpm.rowRegion, MATCH(Q95, _xlpm.colSite, 0),
    _xlpm.rowThroughput, MATCH("Maximum Throughput for Downlink per Site", _xlfn.DROP(_xlpm.colSite, _xlpm.rowRegion), 0),
    IF(INDEX(_xlpm.colauto, _xlpm.rowRegion + _xlpm.rowThroughput)='Model Configurator Sup'!$M$4,VLOOKUP(Q95,'Base Stations Parameters'!$B:$T,4,0),INDEX(_xlpm.colData, _xlpm.rowRegion + _xlpm.rowThroughput))
)</f>
        <v>2000</v>
      </c>
      <c r="Y95" s="106">
        <f ca="1">IF($V95&lt;=0,0,T95/(W95*$V95))</f>
        <v>0.30583625730994152</v>
      </c>
      <c r="Z95" s="106">
        <f ca="1">IF($V95&lt;=0,0,U95/(X95*$V95))</f>
        <v>6.6043205034733057E-2</v>
      </c>
      <c r="AA95" s="130">
        <f>VLOOKUP(Q95,'Base Stations Parameters'!$B:$S,3,0)</f>
        <v>95000</v>
      </c>
      <c r="AB95">
        <f ca="1">ROUNDUP(MAX(T95/W95-V95,U95/X95-V95,0),0)</f>
        <v>0</v>
      </c>
      <c r="AC95" s="130">
        <f ca="1">AB95*AA95</f>
        <v>0</v>
      </c>
      <c r="AF95" s="69" t="s">
        <v>248</v>
      </c>
      <c r="AH95" s="125">
        <v>0.05</v>
      </c>
      <c r="AI95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)*AH95,0)</f>
        <v>88736</v>
      </c>
      <c r="AJ95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)*AH95</f>
        <v>20209.932484656507</v>
      </c>
      <c r="AK95" s="105">
        <f>INDEX('Sites per Region'!$A:$BD, MATCH(AF95,'Sites per Region'!$B:$B,0), MATCH(AG$85,'Sites per Region'!$8:$8, 0))</f>
        <v>114</v>
      </c>
      <c r="AL95" s="105">
        <f>_xlfn.LET(
_xlpm.data,'Base Stations Profiles'!$B:$AI,
_xlpm.colSite,INDEX(_xlpm.data,,1),
_xlpm.colData,INDEX(_xlpm.data,,2),
_xlpm.rowRegion,MATCH(AF95,_xlpm.colSite,0),
_xlpm.rowUser,MATCH("Maximum Simultaneously Active Users per Site",_xlfn.DROP(_xlpm.colSite,_xlpm.rowRegion),0),
INDEX(_xlpm.colData,_xlpm.rowRegion+_xlpm.rowUser))</f>
        <v>1500</v>
      </c>
      <c r="AM95" s="124">
        <f>_xlfn.LET(
    _xlpm.data, 'Base Stations Profiles'!$B:$AJ,
    _xlpm.colSite, INDEX(_xlpm.data,,1),
    _xlpm.colauto, INDEX(_xlpm.data,,3),
    _xlpm.colData, INDEX(_xlpm.data,,2),
    _xlpm.rowRegion, MATCH(AF95, _xlpm.colSite, 0),
    _xlpm.rowThroughput, MATCH("Maximum Throughput for Downlink per Site", _xlfn.DROP(_xlpm.colSite, _xlpm.rowRegion), 0),
    IF(INDEX(_xlpm.colauto, _xlpm.rowRegion + _xlpm.rowThroughput)='Model Configurator Sup'!$M$4,VLOOKUP(AF95,'Base Stations Parameters'!$B:$AI,4,0),INDEX(_xlpm.colData, _xlpm.rowRegion + _xlpm.rowThroughput))
)</f>
        <v>2000</v>
      </c>
      <c r="AN95" s="106">
        <f ca="1">IF($AK95&lt;=0,0,AI95/(AL95*$AK95))</f>
        <v>0.51892397660818712</v>
      </c>
      <c r="AO95" s="106">
        <f ca="1">IF($AK95&lt;=0,0,AJ95/(AM95*$AK95))</f>
        <v>8.8640054757265385E-2</v>
      </c>
      <c r="AP95" s="130">
        <f>VLOOKUP(AF95,'Base Stations Parameters'!$B:$AH,3,0)</f>
        <v>95000</v>
      </c>
      <c r="AQ95">
        <f ca="1">ROUNDUP(MAX(AI95/AL95-AK95,AJ95/AM95-AK95,0),0)</f>
        <v>0</v>
      </c>
      <c r="AR95" s="130">
        <f ca="1">AQ95*AP95</f>
        <v>0</v>
      </c>
    </row>
    <row r="96" spans="2:44" ht="15.75" customHeight="1" thickBot="1" x14ac:dyDescent="0.3">
      <c r="B96" s="69" t="s">
        <v>172</v>
      </c>
      <c r="D96" s="125">
        <v>0.05</v>
      </c>
      <c r="E96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)*D96,0)</f>
        <v>43490</v>
      </c>
      <c r="F96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)*D96</f>
        <v>13694.084282831034</v>
      </c>
      <c r="G96" s="105">
        <f>INDEX('Sites per Region'!$A:$Z, MATCH(B96,'Sites per Region'!$B:$B,0), MATCH(C$85,'Sites per Region'!$8:$8, 0))</f>
        <v>114</v>
      </c>
      <c r="H96" s="105">
        <f>_xlfn.LET(
_xlpm.data,'Base Stations Profiles'!$B:$E,
_xlpm.colSite,INDEX(_xlpm.data,,1),
_xlpm.colData,INDEX(_xlpm.data,,2),
_xlpm.rowRegion,MATCH(B96,_xlpm.colSite,0),
_xlpm.rowUser,MATCH("Maximum Simultaneously Active Users per Site",_xlfn.DROP(_xlpm.colSite,_xlpm.rowRegion),0),
INDEX(_xlpm.colData,_xlpm.rowRegion+_xlpm.rowUser))</f>
        <v>1500</v>
      </c>
      <c r="I96" s="124">
        <f>_xlfn.LET(
    _xlpm.data, 'Base Stations Profiles'!$B:$F,
    _xlpm.colSite, INDEX(_xlpm.data,,1),
    _xlpm.colauto, INDEX(_xlpm.data,,3),
    _xlpm.colData, INDEX(_xlpm.data,,2),
    _xlpm.rowRegion, MATCH(B96, _xlpm.colSite, 0),
    _xlpm.rowThroughput, MATCH("Maximum Throughput for Downlink per Site", _xlfn.DROP(_xlpm.colSite, _xlpm.rowRegion), 0),
    IF(INDEX(_xlpm.colauto, _xlpm.rowRegion + _xlpm.rowThroughput)='Model Configurator Sup'!$M$4,VLOOKUP(B96,'Base Stations Parameters'!$B:$E,4,0),INDEX(_xlpm.colData, _xlpm.rowRegion + _xlpm.rowThroughput))
)</f>
        <v>2000</v>
      </c>
      <c r="J96" s="106">
        <f ca="1">IF($G96&lt;=0,0,E96/(H96*$G96))</f>
        <v>0.25432748538011696</v>
      </c>
      <c r="K96" s="106">
        <f ca="1">IF($G96&lt;=0,0,F96/(I96*$G96))</f>
        <v>6.0061773170311555E-2</v>
      </c>
      <c r="L96" s="130">
        <f>VLOOKUP(B96,'Base Stations Parameters'!$B:$D,3,0)</f>
        <v>80000</v>
      </c>
      <c r="M96">
        <f ca="1">ROUNDUP(MAX(E96/H96-G96,F96/I96-G96,0),0)</f>
        <v>0</v>
      </c>
      <c r="N96" s="130">
        <f ca="1">M96*L96</f>
        <v>0</v>
      </c>
      <c r="Q96" s="69" t="s">
        <v>172</v>
      </c>
      <c r="S96" s="125">
        <v>0.05</v>
      </c>
      <c r="T96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)*S96,0)</f>
        <v>52298</v>
      </c>
      <c r="U96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)*S96</f>
        <v>15057.850747919136</v>
      </c>
      <c r="V96" s="105">
        <f>INDEX('Sites per Region'!$A:$AO, MATCH(Q96,'Sites per Region'!$B:$B,0), MATCH(R$85,'Sites per Region'!$8:$8, 0))</f>
        <v>114</v>
      </c>
      <c r="W96" s="105">
        <f>_xlfn.LET(
_xlpm.data,'Base Stations Profiles'!$B:$T,
_xlpm.colSite,INDEX(_xlpm.data,,1),
_xlpm.colData,INDEX(_xlpm.data,,2),
_xlpm.rowRegion,MATCH(Q96,_xlpm.colSite,0),
_xlpm.rowUser,MATCH("Maximum Simultaneously Active Users per Site",_xlfn.DROP(_xlpm.colSite,_xlpm.rowRegion),0),
INDEX(_xlpm.colData,_xlpm.rowRegion+_xlpm.rowUser))</f>
        <v>1500</v>
      </c>
      <c r="X96" s="124">
        <f>_xlfn.LET(
    _xlpm.data, 'Base Stations Profiles'!$B:$U,
    _xlpm.colSite, INDEX(_xlpm.data,,1),
    _xlpm.colauto, INDEX(_xlpm.data,,3),
    _xlpm.colData, INDEX(_xlpm.data,,2),
    _xlpm.rowRegion, MATCH(Q96, _xlpm.colSite, 0),
    _xlpm.rowThroughput, MATCH("Maximum Throughput for Downlink per Site", _xlfn.DROP(_xlpm.colSite, _xlpm.rowRegion), 0),
    IF(INDEX(_xlpm.colauto, _xlpm.rowRegion + _xlpm.rowThroughput)='Model Configurator Sup'!$M$4,VLOOKUP(Q96,'Base Stations Parameters'!$B:$T,4,0),INDEX(_xlpm.colData, _xlpm.rowRegion + _xlpm.rowThroughput))
)</f>
        <v>2000</v>
      </c>
      <c r="Y96" s="106">
        <f ca="1">IF($V96&lt;=0,0,T96/(W96*$V96))</f>
        <v>0.30583625730994152</v>
      </c>
      <c r="Z96" s="106">
        <f ca="1">IF($V96&lt;=0,0,U96/(X96*$V96))</f>
        <v>6.6043205034733057E-2</v>
      </c>
      <c r="AA96" s="130">
        <f>VLOOKUP(Q96,'Base Stations Parameters'!$B:$S,3,0)</f>
        <v>80000</v>
      </c>
      <c r="AB96">
        <f ca="1">ROUNDUP(MAX(T96/W96-V96,U96/X96-V96,0),0)</f>
        <v>0</v>
      </c>
      <c r="AC96" s="130">
        <f ca="1">AB96*AA96</f>
        <v>0</v>
      </c>
      <c r="AF96" s="69" t="s">
        <v>172</v>
      </c>
      <c r="AH96" s="125">
        <v>0.05</v>
      </c>
      <c r="AI96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)*AH96,0)</f>
        <v>88736</v>
      </c>
      <c r="AJ96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)*AH96</f>
        <v>20209.932484656507</v>
      </c>
      <c r="AK96" s="105">
        <f>INDEX('Sites per Region'!$A:$BD, MATCH(AF96,'Sites per Region'!$B:$B,0), MATCH(AG$85,'Sites per Region'!$8:$8, 0))</f>
        <v>114</v>
      </c>
      <c r="AL96" s="105">
        <f>_xlfn.LET(
_xlpm.data,'Base Stations Profiles'!$B:$AI,
_xlpm.colSite,INDEX(_xlpm.data,,1),
_xlpm.colData,INDEX(_xlpm.data,,2),
_xlpm.rowRegion,MATCH(AF96,_xlpm.colSite,0),
_xlpm.rowUser,MATCH("Maximum Simultaneously Active Users per Site",_xlfn.DROP(_xlpm.colSite,_xlpm.rowRegion),0),
INDEX(_xlpm.colData,_xlpm.rowRegion+_xlpm.rowUser))</f>
        <v>1500</v>
      </c>
      <c r="AM96" s="124">
        <f>_xlfn.LET(
    _xlpm.data, 'Base Stations Profiles'!$B:$AJ,
    _xlpm.colSite, INDEX(_xlpm.data,,1),
    _xlpm.colauto, INDEX(_xlpm.data,,3),
    _xlpm.colData, INDEX(_xlpm.data,,2),
    _xlpm.rowRegion, MATCH(AF96, _xlpm.colSite, 0),
    _xlpm.rowThroughput, MATCH("Maximum Throughput for Downlink per Site", _xlfn.DROP(_xlpm.colSite, _xlpm.rowRegion), 0),
    IF(INDEX(_xlpm.colauto, _xlpm.rowRegion + _xlpm.rowThroughput)='Model Configurator Sup'!$M$4,VLOOKUP(AF96,'Base Stations Parameters'!$B:$AI,4,0),INDEX(_xlpm.colData, _xlpm.rowRegion + _xlpm.rowThroughput))
)</f>
        <v>2000</v>
      </c>
      <c r="AN96" s="106">
        <f ca="1">IF($AK96&lt;=0,0,AI96/(AL96*$AK96))</f>
        <v>0.51892397660818712</v>
      </c>
      <c r="AO96" s="106">
        <f ca="1">IF($AK96&lt;=0,0,AJ96/(AM96*$AK96))</f>
        <v>8.8640054757265385E-2</v>
      </c>
      <c r="AP96" s="130">
        <f>VLOOKUP(AF96,'Base Stations Parameters'!$B:$AH,3,0)</f>
        <v>80000</v>
      </c>
      <c r="AQ96">
        <f ca="1">ROUNDUP(MAX(AI96/AL96-AK96,AJ96/AM96-AK96,0),0)</f>
        <v>0</v>
      </c>
      <c r="AR96" s="130">
        <f ca="1">AQ96*AP96</f>
        <v>0</v>
      </c>
    </row>
    <row r="97" spans="2:44" ht="15.75" customHeight="1" thickBot="1" x14ac:dyDescent="0.3">
      <c r="B97" s="69" t="s">
        <v>249</v>
      </c>
      <c r="D97" s="125">
        <v>0.05</v>
      </c>
      <c r="E97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)*D97,0)</f>
        <v>43490</v>
      </c>
      <c r="F97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)*D97</f>
        <v>13694.084282831034</v>
      </c>
      <c r="G97" s="105">
        <f>INDEX('Sites per Region'!$A:$Z, MATCH(B97,'Sites per Region'!$B:$B,0), MATCH(C$85,'Sites per Region'!$8:$8, 0))</f>
        <v>91.5</v>
      </c>
      <c r="H97" s="105">
        <f>_xlfn.LET(
_xlpm.data,'Base Stations Profiles'!$B:$E,
_xlpm.colSite,INDEX(_xlpm.data,,1),
_xlpm.colData,INDEX(_xlpm.data,,2),
_xlpm.rowRegion,MATCH(B97,_xlpm.colSite,0),
_xlpm.rowUser,MATCH("Maximum Simultaneously Active Users per Site",_xlfn.DROP(_xlpm.colSite,_xlpm.rowRegion),0),
INDEX(_xlpm.colData,_xlpm.rowRegion+_xlpm.rowUser))</f>
        <v>800</v>
      </c>
      <c r="I97" s="124">
        <f>_xlfn.LET(
    _xlpm.data, 'Base Stations Profiles'!$B:$F,
    _xlpm.colSite, INDEX(_xlpm.data,,1),
    _xlpm.colauto, INDEX(_xlpm.data,,3),
    _xlpm.colData, INDEX(_xlpm.data,,2),
    _xlpm.rowRegion, MATCH(B97, _xlpm.colSite, 0),
    _xlpm.rowThroughput, MATCH("Maximum Throughput for Downlink per Site", _xlfn.DROP(_xlpm.colSite, _xlpm.rowRegion), 0),
    IF(INDEX(_xlpm.colauto, _xlpm.rowRegion + _xlpm.rowThroughput)='Model Configurator Sup'!$M$4,VLOOKUP(B97,'Base Stations Parameters'!$B:$E,4,0),INDEX(_xlpm.colData, _xlpm.rowRegion + _xlpm.rowThroughput))
)</f>
        <v>1200</v>
      </c>
      <c r="J97" s="106">
        <f ca="1">IF($G97&lt;=0,0,E97/(H97*$G97))</f>
        <v>0.59412568306010927</v>
      </c>
      <c r="K97" s="106">
        <f ca="1">IF($G97&lt;=0,0,F97/(I97*$G97))</f>
        <v>0.12471843609135733</v>
      </c>
      <c r="L97" s="130">
        <f>VLOOKUP(B97,'Base Stations Parameters'!$B:$D,3,0)</f>
        <v>80000</v>
      </c>
      <c r="M97">
        <f ca="1">ROUNDUP(MAX(E97/H97-G97,F97/I97-G97,0),0)</f>
        <v>0</v>
      </c>
      <c r="N97" s="130">
        <f ca="1">M97*L97</f>
        <v>0</v>
      </c>
      <c r="Q97" s="69" t="s">
        <v>249</v>
      </c>
      <c r="S97" s="125">
        <v>0.05</v>
      </c>
      <c r="T97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)*S97,0)</f>
        <v>52298</v>
      </c>
      <c r="U97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)*S97</f>
        <v>15057.850747919136</v>
      </c>
      <c r="V97" s="105">
        <f>INDEX('Sites per Region'!$A:$AO, MATCH(Q97,'Sites per Region'!$B:$B,0), MATCH(R$85,'Sites per Region'!$8:$8, 0))</f>
        <v>91.5</v>
      </c>
      <c r="W97" s="105">
        <f>_xlfn.LET(
_xlpm.data,'Base Stations Profiles'!$B:$T,
_xlpm.colSite,INDEX(_xlpm.data,,1),
_xlpm.colData,INDEX(_xlpm.data,,2),
_xlpm.rowRegion,MATCH(Q97,_xlpm.colSite,0),
_xlpm.rowUser,MATCH("Maximum Simultaneously Active Users per Site",_xlfn.DROP(_xlpm.colSite,_xlpm.rowRegion),0),
INDEX(_xlpm.colData,_xlpm.rowRegion+_xlpm.rowUser))</f>
        <v>800</v>
      </c>
      <c r="X97" s="124">
        <f>_xlfn.LET(
    _xlpm.data, 'Base Stations Profiles'!$B:$U,
    _xlpm.colSite, INDEX(_xlpm.data,,1),
    _xlpm.colauto, INDEX(_xlpm.data,,3),
    _xlpm.colData, INDEX(_xlpm.data,,2),
    _xlpm.rowRegion, MATCH(Q97, _xlpm.colSite, 0),
    _xlpm.rowThroughput, MATCH("Maximum Throughput for Downlink per Site", _xlfn.DROP(_xlpm.colSite, _xlpm.rowRegion), 0),
    IF(INDEX(_xlpm.colauto, _xlpm.rowRegion + _xlpm.rowThroughput)='Model Configurator Sup'!$M$4,VLOOKUP(Q97,'Base Stations Parameters'!$B:$T,4,0),INDEX(_xlpm.colData, _xlpm.rowRegion + _xlpm.rowThroughput))
)</f>
        <v>1200</v>
      </c>
      <c r="Y97" s="106">
        <f ca="1">IF($V97&lt;=0,0,T97/(W97*$V97))</f>
        <v>0.71445355191256832</v>
      </c>
      <c r="Z97" s="106">
        <f ca="1">IF($V97&lt;=0,0,U97/(X97*$V97))</f>
        <v>0.13713889570053858</v>
      </c>
      <c r="AA97" s="130">
        <f>VLOOKUP(Q97,'Base Stations Parameters'!$B:$S,3,0)</f>
        <v>80000</v>
      </c>
      <c r="AB97">
        <f ca="1">ROUNDUP(MAX(T97/W97-V97,U97/X97-V97,0),0)</f>
        <v>0</v>
      </c>
      <c r="AC97" s="130">
        <f ca="1">AB97*AA97</f>
        <v>0</v>
      </c>
      <c r="AF97" s="69" t="s">
        <v>249</v>
      </c>
      <c r="AH97" s="125">
        <v>0.05</v>
      </c>
      <c r="AI97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)*AH97,0)</f>
        <v>88736</v>
      </c>
      <c r="AJ97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)*AH97</f>
        <v>20209.932484656507</v>
      </c>
      <c r="AK97" s="105">
        <f>INDEX('Sites per Region'!$A:$BD, MATCH(AF97,'Sites per Region'!$B:$B,0), MATCH(AG$85,'Sites per Region'!$8:$8, 0))</f>
        <v>91.5</v>
      </c>
      <c r="AL97" s="105">
        <f>_xlfn.LET(
_xlpm.data,'Base Stations Profiles'!$B:$AI,
_xlpm.colSite,INDEX(_xlpm.data,,1),
_xlpm.colData,INDEX(_xlpm.data,,2),
_xlpm.rowRegion,MATCH(AF97,_xlpm.colSite,0),
_xlpm.rowUser,MATCH("Maximum Simultaneously Active Users per Site",_xlfn.DROP(_xlpm.colSite,_xlpm.rowRegion),0),
INDEX(_xlpm.colData,_xlpm.rowRegion+_xlpm.rowUser))</f>
        <v>800</v>
      </c>
      <c r="AM97" s="124">
        <f>_xlfn.LET(
    _xlpm.data, 'Base Stations Profiles'!$B:$AJ,
    _xlpm.colSite, INDEX(_xlpm.data,,1),
    _xlpm.colauto, INDEX(_xlpm.data,,3),
    _xlpm.colData, INDEX(_xlpm.data,,2),
    _xlpm.rowRegion, MATCH(AF97, _xlpm.colSite, 0),
    _xlpm.rowThroughput, MATCH("Maximum Throughput for Downlink per Site", _xlfn.DROP(_xlpm.colSite, _xlpm.rowRegion), 0),
    IF(INDEX(_xlpm.colauto, _xlpm.rowRegion + _xlpm.rowThroughput)='Model Configurator Sup'!$M$4,VLOOKUP(AF97,'Base Stations Parameters'!$B:$AI,4,0),INDEX(_xlpm.colData, _xlpm.rowRegion + _xlpm.rowThroughput))
)</f>
        <v>1200</v>
      </c>
      <c r="AN97" s="106">
        <f ca="1">IF($AK97&lt;=0,0,AI97/(AL97*$AK97))</f>
        <v>1.2122404371584699</v>
      </c>
      <c r="AO97" s="106">
        <f ca="1">IF($AK97&lt;=0,0,AJ97/(AM97*$AK97))</f>
        <v>0.18406131588940353</v>
      </c>
      <c r="AP97" s="130">
        <f>VLOOKUP(AF97,'Base Stations Parameters'!$B:$AH,3,0)</f>
        <v>80000</v>
      </c>
      <c r="AQ97">
        <f ca="1">ROUNDUP(MAX(AI97/AL97-AK97,AJ97/AM97-AK97,0),0)</f>
        <v>20</v>
      </c>
      <c r="AR97" s="130">
        <f ca="1">AQ97*AP97</f>
        <v>1600000</v>
      </c>
    </row>
    <row r="98" spans="2:44" ht="15.75" customHeight="1" thickBot="1" x14ac:dyDescent="0.3">
      <c r="B98" s="69" t="s">
        <v>173</v>
      </c>
      <c r="D98" s="125">
        <v>0.05</v>
      </c>
      <c r="E98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)*D98,0)</f>
        <v>43490</v>
      </c>
      <c r="F98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)*D98</f>
        <v>13694.084282831034</v>
      </c>
      <c r="G98" s="105">
        <f>INDEX('Sites per Region'!$A:$Z, MATCH(B98,'Sites per Region'!$B:$B,0), MATCH(C$85,'Sites per Region'!$8:$8, 0))</f>
        <v>91.5</v>
      </c>
      <c r="H98" s="105">
        <f>_xlfn.LET(
_xlpm.data,'Base Stations Profiles'!$B:$E,
_xlpm.colSite,INDEX(_xlpm.data,,1),
_xlpm.colData,INDEX(_xlpm.data,,2),
_xlpm.rowRegion,MATCH(B98,_xlpm.colSite,0),
_xlpm.rowUser,MATCH("Maximum Simultaneously Active Users per Site",_xlfn.DROP(_xlpm.colSite,_xlpm.rowRegion),0),
INDEX(_xlpm.colData,_xlpm.rowRegion+_xlpm.rowUser))</f>
        <v>800</v>
      </c>
      <c r="I98" s="124">
        <f>_xlfn.LET(
    _xlpm.data, 'Base Stations Profiles'!$B:$F,
    _xlpm.colSite, INDEX(_xlpm.data,,1),
    _xlpm.colauto, INDEX(_xlpm.data,,3),
    _xlpm.colData, INDEX(_xlpm.data,,2),
    _xlpm.rowRegion, MATCH(B98, _xlpm.colSite, 0),
    _xlpm.rowThroughput, MATCH("Maximum Throughput for Downlink per Site", _xlfn.DROP(_xlpm.colSite, _xlpm.rowRegion), 0),
    IF(INDEX(_xlpm.colauto, _xlpm.rowRegion + _xlpm.rowThroughput)='Model Configurator Sup'!$M$4,VLOOKUP(B98,'Base Stations Parameters'!$B:$E,4,0),INDEX(_xlpm.colData, _xlpm.rowRegion + _xlpm.rowThroughput))
)</f>
        <v>1200</v>
      </c>
      <c r="J98" s="106">
        <f ca="1">IF($G98&lt;=0,0,E98/(H98*$G98))</f>
        <v>0.59412568306010927</v>
      </c>
      <c r="K98" s="106">
        <f ca="1">IF($G98&lt;=0,0,F98/(I98*$G98))</f>
        <v>0.12471843609135733</v>
      </c>
      <c r="L98" s="130">
        <f>VLOOKUP(B98,'Base Stations Parameters'!$B:$D,3,0)</f>
        <v>60000</v>
      </c>
      <c r="M98">
        <f ca="1">ROUNDUP(MAX(E98/H98-G98,F98/I98-G98,0),0)</f>
        <v>0</v>
      </c>
      <c r="N98" s="130">
        <f ca="1">M98*L98</f>
        <v>0</v>
      </c>
      <c r="Q98" s="69" t="s">
        <v>173</v>
      </c>
      <c r="S98" s="125">
        <v>0.05</v>
      </c>
      <c r="T98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)*S98,0)</f>
        <v>52298</v>
      </c>
      <c r="U98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)*S98</f>
        <v>15057.850747919136</v>
      </c>
      <c r="V98" s="105">
        <f>INDEX('Sites per Region'!$A:$AO, MATCH(Q98,'Sites per Region'!$B:$B,0), MATCH(R$85,'Sites per Region'!$8:$8, 0))</f>
        <v>91.5</v>
      </c>
      <c r="W98" s="105">
        <f>_xlfn.LET(
_xlpm.data,'Base Stations Profiles'!$B:$T,
_xlpm.colSite,INDEX(_xlpm.data,,1),
_xlpm.colData,INDEX(_xlpm.data,,2),
_xlpm.rowRegion,MATCH(Q98,_xlpm.colSite,0),
_xlpm.rowUser,MATCH("Maximum Simultaneously Active Users per Site",_xlfn.DROP(_xlpm.colSite,_xlpm.rowRegion),0),
INDEX(_xlpm.colData,_xlpm.rowRegion+_xlpm.rowUser))</f>
        <v>800</v>
      </c>
      <c r="X98" s="124">
        <f>_xlfn.LET(
    _xlpm.data, 'Base Stations Profiles'!$B:$U,
    _xlpm.colSite, INDEX(_xlpm.data,,1),
    _xlpm.colauto, INDEX(_xlpm.data,,3),
    _xlpm.colData, INDEX(_xlpm.data,,2),
    _xlpm.rowRegion, MATCH(Q98, _xlpm.colSite, 0),
    _xlpm.rowThroughput, MATCH("Maximum Throughput for Downlink per Site", _xlfn.DROP(_xlpm.colSite, _xlpm.rowRegion), 0),
    IF(INDEX(_xlpm.colauto, _xlpm.rowRegion + _xlpm.rowThroughput)='Model Configurator Sup'!$M$4,VLOOKUP(Q98,'Base Stations Parameters'!$B:$T,4,0),INDEX(_xlpm.colData, _xlpm.rowRegion + _xlpm.rowThroughput))
)</f>
        <v>1200</v>
      </c>
      <c r="Y98" s="106">
        <f ca="1">IF($V98&lt;=0,0,T98/(W98*$V98))</f>
        <v>0.71445355191256832</v>
      </c>
      <c r="Z98" s="106">
        <f ca="1">IF($V98&lt;=0,0,U98/(X98*$V98))</f>
        <v>0.13713889570053858</v>
      </c>
      <c r="AA98" s="130">
        <f>VLOOKUP(Q98,'Base Stations Parameters'!$B:$S,3,0)</f>
        <v>60000</v>
      </c>
      <c r="AB98">
        <f ca="1">ROUNDUP(MAX(T98/W98-V98,U98/X98-V98,0),0)</f>
        <v>0</v>
      </c>
      <c r="AC98" s="130">
        <f ca="1">AB98*AA98</f>
        <v>0</v>
      </c>
      <c r="AF98" s="69" t="s">
        <v>173</v>
      </c>
      <c r="AH98" s="125">
        <v>0.05</v>
      </c>
      <c r="AI98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)*AH98,0)</f>
        <v>88736</v>
      </c>
      <c r="AJ98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)*AH98</f>
        <v>20209.932484656507</v>
      </c>
      <c r="AK98" s="105">
        <f>INDEX('Sites per Region'!$A:$BD, MATCH(AF98,'Sites per Region'!$B:$B,0), MATCH(AG$85,'Sites per Region'!$8:$8, 0))</f>
        <v>91.5</v>
      </c>
      <c r="AL98" s="105">
        <f>_xlfn.LET(
_xlpm.data,'Base Stations Profiles'!$B:$AI,
_xlpm.colSite,INDEX(_xlpm.data,,1),
_xlpm.colData,INDEX(_xlpm.data,,2),
_xlpm.rowRegion,MATCH(AF98,_xlpm.colSite,0),
_xlpm.rowUser,MATCH("Maximum Simultaneously Active Users per Site",_xlfn.DROP(_xlpm.colSite,_xlpm.rowRegion),0),
INDEX(_xlpm.colData,_xlpm.rowRegion+_xlpm.rowUser))</f>
        <v>800</v>
      </c>
      <c r="AM98" s="124">
        <f>_xlfn.LET(
    _xlpm.data, 'Base Stations Profiles'!$B:$AJ,
    _xlpm.colSite, INDEX(_xlpm.data,,1),
    _xlpm.colauto, INDEX(_xlpm.data,,3),
    _xlpm.colData, INDEX(_xlpm.data,,2),
    _xlpm.rowRegion, MATCH(AF98, _xlpm.colSite, 0),
    _xlpm.rowThroughput, MATCH("Maximum Throughput for Downlink per Site", _xlfn.DROP(_xlpm.colSite, _xlpm.rowRegion), 0),
    IF(INDEX(_xlpm.colauto, _xlpm.rowRegion + _xlpm.rowThroughput)='Model Configurator Sup'!$M$4,VLOOKUP(AF98,'Base Stations Parameters'!$B:$AI,4,0),INDEX(_xlpm.colData, _xlpm.rowRegion + _xlpm.rowThroughput))
)</f>
        <v>1200</v>
      </c>
      <c r="AN98" s="106">
        <f ca="1">IF($AK98&lt;=0,0,AI98/(AL98*$AK98))</f>
        <v>1.2122404371584699</v>
      </c>
      <c r="AO98" s="106">
        <f ca="1">IF($AK98&lt;=0,0,AJ98/(AM98*$AK98))</f>
        <v>0.18406131588940353</v>
      </c>
      <c r="AP98" s="130">
        <f>VLOOKUP(AF98,'Base Stations Parameters'!$B:$AH,3,0)</f>
        <v>60000</v>
      </c>
      <c r="AQ98">
        <f ca="1">ROUNDUP(MAX(AI98/AL98-AK98,AJ98/AM98-AK98,0),0)</f>
        <v>20</v>
      </c>
      <c r="AR98" s="130">
        <f ca="1">AQ98*AP98</f>
        <v>1200000</v>
      </c>
    </row>
    <row r="99" spans="2:44" ht="15.75" customHeight="1" thickBot="1" x14ac:dyDescent="0.3">
      <c r="B99" s="69" t="s">
        <v>250</v>
      </c>
      <c r="D99" s="125">
        <v>2.5000000000000001E-2</v>
      </c>
      <c r="E99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)*D99,0)</f>
        <v>21745</v>
      </c>
      <c r="F99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)*D99</f>
        <v>6847.0421414155171</v>
      </c>
      <c r="G99" s="105">
        <f>INDEX('Sites per Region'!$A:$Z, MATCH(B99,'Sites per Region'!$B:$B,0), MATCH(C$85,'Sites per Region'!$8:$8, 0))</f>
        <v>102.5</v>
      </c>
      <c r="H99" s="105">
        <f>_xlfn.LET(
_xlpm.data,'Base Stations Profiles'!$B:$E,
_xlpm.colSite,INDEX(_xlpm.data,,1),
_xlpm.colData,INDEX(_xlpm.data,,2),
_xlpm.rowRegion,MATCH(B99,_xlpm.colSite,0),
_xlpm.rowUser,MATCH("Maximum Simultaneously Active Users per Site",_xlfn.DROP(_xlpm.colSite,_xlpm.rowRegion),0),
INDEX(_xlpm.colData,_xlpm.rowRegion+_xlpm.rowUser))</f>
        <v>400</v>
      </c>
      <c r="I99" s="124">
        <f>_xlfn.LET(
    _xlpm.data, 'Base Stations Profiles'!$B:$F,
    _xlpm.colSite, INDEX(_xlpm.data,,1),
    _xlpm.colauto, INDEX(_xlpm.data,,3),
    _xlpm.colData, INDEX(_xlpm.data,,2),
    _xlpm.rowRegion, MATCH(B99, _xlpm.colSite, 0),
    _xlpm.rowThroughput, MATCH("Maximum Throughput for Downlink per Site", _xlfn.DROP(_xlpm.colSite, _xlpm.rowRegion), 0),
    IF(INDEX(_xlpm.colauto, _xlpm.rowRegion + _xlpm.rowThroughput)='Model Configurator Sup'!$M$4,VLOOKUP(B99,'Base Stations Parameters'!$B:$E,4,0),INDEX(_xlpm.colData, _xlpm.rowRegion + _xlpm.rowThroughput))
)</f>
        <v>300</v>
      </c>
      <c r="J99" s="106">
        <f ca="1">IF($G99&lt;=0,0,E99/(H99*$G99))</f>
        <v>0.53036585365853661</v>
      </c>
      <c r="K99" s="106">
        <f ca="1">IF($G99&lt;=0,0,F99/(I99*$G99))</f>
        <v>0.2226680371192038</v>
      </c>
      <c r="L99" s="130">
        <f>VLOOKUP(B99,'Base Stations Parameters'!$B:$D,3,0)</f>
        <v>60000</v>
      </c>
      <c r="M99">
        <f ca="1">ROUNDUP(MAX(E99/H99-G99,F99/I99-G99,0),0)</f>
        <v>0</v>
      </c>
      <c r="N99" s="130">
        <f ca="1">M99*L99</f>
        <v>0</v>
      </c>
      <c r="Q99" s="69" t="s">
        <v>250</v>
      </c>
      <c r="S99" s="125">
        <v>2.5000000000000001E-2</v>
      </c>
      <c r="T99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)*S99,0)</f>
        <v>26149</v>
      </c>
      <c r="U99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)*S99</f>
        <v>7528.9253739595679</v>
      </c>
      <c r="V99" s="105">
        <f>INDEX('Sites per Region'!$A:$AO, MATCH(Q99,'Sites per Region'!$B:$B,0), MATCH(R$85,'Sites per Region'!$8:$8, 0))</f>
        <v>102.5</v>
      </c>
      <c r="W99" s="105">
        <f>_xlfn.LET(
_xlpm.data,'Base Stations Profiles'!$B:$T,
_xlpm.colSite,INDEX(_xlpm.data,,1),
_xlpm.colData,INDEX(_xlpm.data,,2),
_xlpm.rowRegion,MATCH(Q99,_xlpm.colSite,0),
_xlpm.rowUser,MATCH("Maximum Simultaneously Active Users per Site",_xlfn.DROP(_xlpm.colSite,_xlpm.rowRegion),0),
INDEX(_xlpm.colData,_xlpm.rowRegion+_xlpm.rowUser))</f>
        <v>400</v>
      </c>
      <c r="X99" s="124">
        <f>_xlfn.LET(
    _xlpm.data, 'Base Stations Profiles'!$B:$U,
    _xlpm.colSite, INDEX(_xlpm.data,,1),
    _xlpm.colauto, INDEX(_xlpm.data,,3),
    _xlpm.colData, INDEX(_xlpm.data,,2),
    _xlpm.rowRegion, MATCH(Q99, _xlpm.colSite, 0),
    _xlpm.rowThroughput, MATCH("Maximum Throughput for Downlink per Site", _xlfn.DROP(_xlpm.colSite, _xlpm.rowRegion), 0),
    IF(INDEX(_xlpm.colauto, _xlpm.rowRegion + _xlpm.rowThroughput)='Model Configurator Sup'!$M$4,VLOOKUP(Q99,'Base Stations Parameters'!$B:$T,4,0),INDEX(_xlpm.colData, _xlpm.rowRegion + _xlpm.rowThroughput))
)</f>
        <v>300</v>
      </c>
      <c r="Y99" s="106">
        <f ca="1">IF($V99&lt;=0,0,T99/(W99*$V99))</f>
        <v>0.63778048780487806</v>
      </c>
      <c r="Z99" s="106">
        <f ca="1">IF($V99&lt;=0,0,U99/(X99*$V99))</f>
        <v>0.24484310159218106</v>
      </c>
      <c r="AA99" s="130">
        <f>VLOOKUP(Q99,'Base Stations Parameters'!$B:$S,3,0)</f>
        <v>60000</v>
      </c>
      <c r="AB99">
        <f ca="1">ROUNDUP(MAX(T99/W99-V99,U99/X99-V99,0),0)</f>
        <v>0</v>
      </c>
      <c r="AC99" s="130">
        <f ca="1">AB99*AA99</f>
        <v>0</v>
      </c>
      <c r="AF99" s="69" t="s">
        <v>250</v>
      </c>
      <c r="AH99" s="125">
        <v>2.5000000000000001E-2</v>
      </c>
      <c r="AI99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)*AH99,0)</f>
        <v>44368</v>
      </c>
      <c r="AJ99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)*AH99</f>
        <v>10104.966242328253</v>
      </c>
      <c r="AK99" s="105">
        <f>INDEX('Sites per Region'!$A:$BD, MATCH(AF99,'Sites per Region'!$B:$B,0), MATCH(AG$85,'Sites per Region'!$8:$8, 0))</f>
        <v>102.5</v>
      </c>
      <c r="AL99" s="105">
        <f>_xlfn.LET(
_xlpm.data,'Base Stations Profiles'!$B:$AI,
_xlpm.colSite,INDEX(_xlpm.data,,1),
_xlpm.colData,INDEX(_xlpm.data,,2),
_xlpm.rowRegion,MATCH(AF99,_xlpm.colSite,0),
_xlpm.rowUser,MATCH("Maximum Simultaneously Active Users per Site",_xlfn.DROP(_xlpm.colSite,_xlpm.rowRegion),0),
INDEX(_xlpm.colData,_xlpm.rowRegion+_xlpm.rowUser))</f>
        <v>400</v>
      </c>
      <c r="AM99" s="124">
        <f>_xlfn.LET(
    _xlpm.data, 'Base Stations Profiles'!$B:$AJ,
    _xlpm.colSite, INDEX(_xlpm.data,,1),
    _xlpm.colauto, INDEX(_xlpm.data,,3),
    _xlpm.colData, INDEX(_xlpm.data,,2),
    _xlpm.rowRegion, MATCH(AF99, _xlpm.colSite, 0),
    _xlpm.rowThroughput, MATCH("Maximum Throughput for Downlink per Site", _xlfn.DROP(_xlpm.colSite, _xlpm.rowRegion), 0),
    IF(INDEX(_xlpm.colauto, _xlpm.rowRegion + _xlpm.rowThroughput)='Model Configurator Sup'!$M$4,VLOOKUP(AF99,'Base Stations Parameters'!$B:$AI,4,0),INDEX(_xlpm.colData, _xlpm.rowRegion + _xlpm.rowThroughput))
)</f>
        <v>300</v>
      </c>
      <c r="AN99" s="106">
        <f ca="1">IF($AK99&lt;=0,0,AI99/(AL99*$AK99))</f>
        <v>1.0821463414634147</v>
      </c>
      <c r="AO99" s="106">
        <f ca="1">IF($AK99&lt;=0,0,AJ99/(AM99*$AK99))</f>
        <v>0.32861678836839847</v>
      </c>
      <c r="AP99" s="130">
        <f>VLOOKUP(AF99,'Base Stations Parameters'!$B:$AH,3,0)</f>
        <v>60000</v>
      </c>
      <c r="AQ99">
        <f ca="1">ROUNDUP(MAX(AI99/AL99-AK99,AJ99/AM99-AK99,0),0)</f>
        <v>9</v>
      </c>
      <c r="AR99" s="130">
        <f ca="1">AQ99*AP99</f>
        <v>540000</v>
      </c>
    </row>
    <row r="100" spans="2:44" ht="15.75" customHeight="1" thickBot="1" x14ac:dyDescent="0.3">
      <c r="B100" s="69" t="s">
        <v>174</v>
      </c>
      <c r="D100" s="125">
        <v>2.5000000000000001E-2</v>
      </c>
      <c r="E100" s="123">
        <f ca="1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)*D100,0)</f>
        <v>21745</v>
      </c>
      <c r="F100" s="122">
        <f ca="1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)*D100</f>
        <v>6847.0421414155171</v>
      </c>
      <c r="G100" s="105">
        <f>INDEX('Sites per Region'!$A:$Z, MATCH(B100,'Sites per Region'!$B:$B,0), MATCH(C$85,'Sites per Region'!$8:$8, 0))</f>
        <v>102.5</v>
      </c>
      <c r="H100" s="105">
        <f>_xlfn.LET(
_xlpm.data,'Base Stations Profiles'!$B:$E,
_xlpm.colSite,INDEX(_xlpm.data,,1),
_xlpm.colData,INDEX(_xlpm.data,,2),
_xlpm.rowRegion,MATCH(B100,_xlpm.colSite,0),
_xlpm.rowUser,MATCH("Maximum Simultaneously Active Users per Site",_xlfn.DROP(_xlpm.colSite,_xlpm.rowRegion),0),
INDEX(_xlpm.colData,_xlpm.rowRegion+_xlpm.rowUser))</f>
        <v>400</v>
      </c>
      <c r="I100" s="124">
        <f>_xlfn.LET(
    _xlpm.data, 'Base Stations Profiles'!$B:$F,
    _xlpm.colSite, INDEX(_xlpm.data,,1),
    _xlpm.colauto, INDEX(_xlpm.data,,3),
    _xlpm.colData, INDEX(_xlpm.data,,2),
    _xlpm.rowRegion, MATCH(B100, _xlpm.colSite, 0),
    _xlpm.rowThroughput, MATCH("Maximum Throughput for Downlink per Site", _xlfn.DROP(_xlpm.colSite, _xlpm.rowRegion), 0),
    IF(INDEX(_xlpm.colauto, _xlpm.rowRegion + _xlpm.rowThroughput)='Model Configurator Sup'!$M$4,VLOOKUP(B100,'Base Stations Parameters'!$B:$E,4,0),INDEX(_xlpm.colData, _xlpm.rowRegion + _xlpm.rowThroughput))
)</f>
        <v>300</v>
      </c>
      <c r="J100" s="106">
        <f ca="1">IF($G100&lt;=0,0,E100/(H100*$G100))</f>
        <v>0.53036585365853661</v>
      </c>
      <c r="K100" s="106">
        <f ca="1">IF($G100&lt;=0,0,F100/(I100*$G100))</f>
        <v>0.2226680371192038</v>
      </c>
      <c r="L100" s="130">
        <f>VLOOKUP(B100,'Base Stations Parameters'!$B:$D,3,0)</f>
        <v>0</v>
      </c>
      <c r="M100">
        <f ca="1">ROUNDUP(MAX(E100/H100-G100,F100/I100-G100,0),0)</f>
        <v>0</v>
      </c>
      <c r="N100" s="130">
        <f ca="1">M100*L100</f>
        <v>0</v>
      </c>
      <c r="Q100" s="69" t="s">
        <v>174</v>
      </c>
      <c r="S100" s="125">
        <v>2.5000000000000001E-2</v>
      </c>
      <c r="T100" s="123">
        <f ca="1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)*S100,0)</f>
        <v>26149</v>
      </c>
      <c r="U100" s="122">
        <f ca="1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)*S100</f>
        <v>7528.9253739595679</v>
      </c>
      <c r="V100" s="105">
        <f>INDEX('Sites per Region'!$A:$AO, MATCH(Q100,'Sites per Region'!$B:$B,0), MATCH(R$85,'Sites per Region'!$8:$8, 0))</f>
        <v>102.5</v>
      </c>
      <c r="W100" s="105">
        <f>_xlfn.LET(
_xlpm.data,'Base Stations Profiles'!$B:$T,
_xlpm.colSite,INDEX(_xlpm.data,,1),
_xlpm.colData,INDEX(_xlpm.data,,2),
_xlpm.rowRegion,MATCH(Q100,_xlpm.colSite,0),
_xlpm.rowUser,MATCH("Maximum Simultaneously Active Users per Site",_xlfn.DROP(_xlpm.colSite,_xlpm.rowRegion),0),
INDEX(_xlpm.colData,_xlpm.rowRegion+_xlpm.rowUser))</f>
        <v>400</v>
      </c>
      <c r="X100" s="124">
        <f>_xlfn.LET(
    _xlpm.data, 'Base Stations Profiles'!$B:$U,
    _xlpm.colSite, INDEX(_xlpm.data,,1),
    _xlpm.colauto, INDEX(_xlpm.data,,3),
    _xlpm.colData, INDEX(_xlpm.data,,2),
    _xlpm.rowRegion, MATCH(Q100, _xlpm.colSite, 0),
    _xlpm.rowThroughput, MATCH("Maximum Throughput for Downlink per Site", _xlfn.DROP(_xlpm.colSite, _xlpm.rowRegion), 0),
    IF(INDEX(_xlpm.colauto, _xlpm.rowRegion + _xlpm.rowThroughput)='Model Configurator Sup'!$M$4,VLOOKUP(Q100,'Base Stations Parameters'!$B:$T,4,0),INDEX(_xlpm.colData, _xlpm.rowRegion + _xlpm.rowThroughput))
)</f>
        <v>300</v>
      </c>
      <c r="Y100" s="106">
        <f ca="1">IF($V100&lt;=0,0,T100/(W100*$V100))</f>
        <v>0.63778048780487806</v>
      </c>
      <c r="Z100" s="106">
        <f ca="1">IF($V100&lt;=0,0,U100/(X100*$V100))</f>
        <v>0.24484310159218106</v>
      </c>
      <c r="AA100" s="130">
        <f>VLOOKUP(Q100,'Base Stations Parameters'!$B:$S,3,0)</f>
        <v>0</v>
      </c>
      <c r="AB100">
        <f ca="1">ROUNDUP(MAX(T100/W100-V100,U100/X100-V100,0),0)</f>
        <v>0</v>
      </c>
      <c r="AC100" s="130">
        <f ca="1">AB100*AA100</f>
        <v>0</v>
      </c>
      <c r="AF100" s="69" t="s">
        <v>174</v>
      </c>
      <c r="AH100" s="125">
        <v>2.5000000000000001E-2</v>
      </c>
      <c r="AI100" s="123">
        <f ca="1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)*AH100,0)</f>
        <v>44368</v>
      </c>
      <c r="AJ100" s="122">
        <f ca="1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)*AH100</f>
        <v>10104.966242328253</v>
      </c>
      <c r="AK100" s="105">
        <f>INDEX('Sites per Region'!$A:$BD, MATCH(AF100,'Sites per Region'!$B:$B,0), MATCH(AG$85,'Sites per Region'!$8:$8, 0))</f>
        <v>102.5</v>
      </c>
      <c r="AL100" s="105">
        <f>_xlfn.LET(
_xlpm.data,'Base Stations Profiles'!$B:$AI,
_xlpm.colSite,INDEX(_xlpm.data,,1),
_xlpm.colData,INDEX(_xlpm.data,,2),
_xlpm.rowRegion,MATCH(AF100,_xlpm.colSite,0),
_xlpm.rowUser,MATCH("Maximum Simultaneously Active Users per Site",_xlfn.DROP(_xlpm.colSite,_xlpm.rowRegion),0),
INDEX(_xlpm.colData,_xlpm.rowRegion+_xlpm.rowUser))</f>
        <v>400</v>
      </c>
      <c r="AM100" s="124">
        <f>_xlfn.LET(
    _xlpm.data, 'Base Stations Profiles'!$B:$AJ,
    _xlpm.colSite, INDEX(_xlpm.data,,1),
    _xlpm.colauto, INDEX(_xlpm.data,,3),
    _xlpm.colData, INDEX(_xlpm.data,,2),
    _xlpm.rowRegion, MATCH(AF100, _xlpm.colSite, 0),
    _xlpm.rowThroughput, MATCH("Maximum Throughput for Downlink per Site", _xlfn.DROP(_xlpm.colSite, _xlpm.rowRegion), 0),
    IF(INDEX(_xlpm.colauto, _xlpm.rowRegion + _xlpm.rowThroughput)='Model Configurator Sup'!$M$4,VLOOKUP(AF100,'Base Stations Parameters'!$B:$AI,4,0),INDEX(_xlpm.colData, _xlpm.rowRegion + _xlpm.rowThroughput))
)</f>
        <v>300</v>
      </c>
      <c r="AN100" s="106">
        <f ca="1">IF($AK100&lt;=0,0,AI100/(AL100*$AK100))</f>
        <v>1.0821463414634147</v>
      </c>
      <c r="AO100" s="106">
        <f ca="1">IF($AK100&lt;=0,0,AJ100/(AM100*$AK100))</f>
        <v>0.32861678836839847</v>
      </c>
      <c r="AP100" s="130">
        <f>VLOOKUP(AF100,'Base Stations Parameters'!$B:$AH,3,0)</f>
        <v>0</v>
      </c>
      <c r="AQ100">
        <f ca="1">ROUNDUP(MAX(AI100/AL100-AK100,AJ100/AM100-AK100,0),0)</f>
        <v>9</v>
      </c>
      <c r="AR100" s="130">
        <f ca="1">AQ100*AP100</f>
        <v>0</v>
      </c>
    </row>
    <row r="101" spans="2:44" ht="15" customHeight="1" x14ac:dyDescent="0.25">
      <c r="B101" s="116" t="s">
        <v>182</v>
      </c>
      <c r="D101" s="126">
        <f>SUM(D89:D100)</f>
        <v>1</v>
      </c>
      <c r="E101" s="127">
        <f ca="1">SUM(E89:E100)</f>
        <v>869810</v>
      </c>
      <c r="F101" s="128">
        <f ca="1">SUM(F89:F100)</f>
        <v>273881.68565662066</v>
      </c>
      <c r="H101" s="113"/>
      <c r="I101" s="115"/>
      <c r="L101" s="115"/>
      <c r="M101" s="129">
        <f ca="1">SUM(M89:M100)</f>
        <v>32</v>
      </c>
      <c r="N101" s="131">
        <f ca="1">SUM(N89:N100)</f>
        <v>3370000</v>
      </c>
      <c r="Q101" s="116" t="s">
        <v>182</v>
      </c>
      <c r="S101" s="126">
        <f>SUM(S89:S100)</f>
        <v>1</v>
      </c>
      <c r="T101" s="127">
        <f ca="1">SUM(T89:T100)</f>
        <v>1045970</v>
      </c>
      <c r="U101" s="128">
        <f ca="1">SUM(U89:U100)</f>
        <v>301157.01495838276</v>
      </c>
      <c r="W101" s="113"/>
      <c r="X101" s="115"/>
      <c r="AA101" s="115"/>
      <c r="AB101" s="129">
        <f ca="1">SUM(AB89:AB100)</f>
        <v>104</v>
      </c>
      <c r="AC101" s="131">
        <f ca="1">SUM(AC89:AC100)</f>
        <v>11290000</v>
      </c>
      <c r="AF101" s="116" t="s">
        <v>182</v>
      </c>
      <c r="AH101" s="126">
        <f>SUM(AH89:AH100)</f>
        <v>1</v>
      </c>
      <c r="AI101" s="127">
        <f ca="1">SUM(AI89:AI100)</f>
        <v>1774720</v>
      </c>
      <c r="AJ101" s="128">
        <f ca="1">SUM(AJ89:AJ100)</f>
        <v>404198.64969313005</v>
      </c>
      <c r="AL101" s="113"/>
      <c r="AM101" s="115"/>
      <c r="AP101" s="115"/>
      <c r="AQ101" s="129">
        <f ca="1">SUM(AQ89:AQ100)</f>
        <v>460</v>
      </c>
      <c r="AR101" s="131">
        <f ca="1">SUM(AR89:AR100)</f>
        <v>47710000</v>
      </c>
    </row>
    <row r="103" spans="2:44" ht="15" customHeight="1" x14ac:dyDescent="0.25">
      <c r="C103">
        <v>2023</v>
      </c>
      <c r="R103">
        <v>2025</v>
      </c>
      <c r="AG103">
        <v>2030</v>
      </c>
    </row>
    <row r="104" spans="2:44" ht="20.100000000000001" customHeight="1" x14ac:dyDescent="0.25">
      <c r="C104" s="102" t="s">
        <v>15</v>
      </c>
      <c r="R104" s="102" t="s">
        <v>15</v>
      </c>
      <c r="AG104" s="102" t="s">
        <v>15</v>
      </c>
    </row>
    <row r="105" spans="2:44" ht="15" customHeight="1" thickBot="1" x14ac:dyDescent="0.3"/>
    <row r="106" spans="2:44" ht="15" customHeight="1" thickBot="1" x14ac:dyDescent="0.3">
      <c r="B106" s="138" t="s">
        <v>143</v>
      </c>
      <c r="C106" s="117"/>
      <c r="D106" s="152" t="s">
        <v>203</v>
      </c>
      <c r="E106" s="142" t="s">
        <v>218</v>
      </c>
      <c r="F106" s="144"/>
      <c r="G106" s="152" t="s">
        <v>215</v>
      </c>
      <c r="H106" s="142" t="s">
        <v>217</v>
      </c>
      <c r="I106" s="144"/>
      <c r="J106" s="142" t="s">
        <v>184</v>
      </c>
      <c r="K106" s="144"/>
      <c r="L106" s="142" t="s">
        <v>131</v>
      </c>
      <c r="M106" s="143"/>
      <c r="N106" s="144"/>
      <c r="Q106" s="138" t="s">
        <v>143</v>
      </c>
      <c r="R106" s="117"/>
      <c r="S106" s="152" t="s">
        <v>203</v>
      </c>
      <c r="T106" s="142" t="s">
        <v>218</v>
      </c>
      <c r="U106" s="144"/>
      <c r="V106" s="152" t="s">
        <v>215</v>
      </c>
      <c r="W106" s="142" t="s">
        <v>217</v>
      </c>
      <c r="X106" s="144"/>
      <c r="Y106" s="142" t="s">
        <v>184</v>
      </c>
      <c r="Z106" s="144"/>
      <c r="AA106" s="142" t="s">
        <v>131</v>
      </c>
      <c r="AB106" s="143"/>
      <c r="AC106" s="144"/>
      <c r="AF106" s="138" t="s">
        <v>143</v>
      </c>
      <c r="AG106" s="117"/>
      <c r="AH106" s="152" t="s">
        <v>203</v>
      </c>
      <c r="AI106" s="142" t="s">
        <v>218</v>
      </c>
      <c r="AJ106" s="144"/>
      <c r="AK106" s="152" t="s">
        <v>215</v>
      </c>
      <c r="AL106" s="142" t="s">
        <v>217</v>
      </c>
      <c r="AM106" s="144"/>
      <c r="AN106" s="142" t="s">
        <v>184</v>
      </c>
      <c r="AO106" s="144"/>
      <c r="AP106" s="142" t="s">
        <v>131</v>
      </c>
      <c r="AQ106" s="143"/>
      <c r="AR106" s="144"/>
    </row>
    <row r="107" spans="2:44" ht="30.75" customHeight="1" thickBot="1" x14ac:dyDescent="0.3">
      <c r="B107" s="139"/>
      <c r="C107" s="117"/>
      <c r="D107" s="153"/>
      <c r="E107" s="10" t="s">
        <v>185</v>
      </c>
      <c r="F107" s="10" t="s">
        <v>204</v>
      </c>
      <c r="G107" s="153"/>
      <c r="H107" s="10" t="s">
        <v>185</v>
      </c>
      <c r="I107" s="10" t="s">
        <v>204</v>
      </c>
      <c r="J107" s="10" t="s">
        <v>185</v>
      </c>
      <c r="K107" s="10" t="s">
        <v>204</v>
      </c>
      <c r="L107" s="10" t="s">
        <v>243</v>
      </c>
      <c r="M107" s="10" t="s">
        <v>195</v>
      </c>
      <c r="N107" s="10" t="s">
        <v>244</v>
      </c>
      <c r="Q107" s="139"/>
      <c r="R107" s="117"/>
      <c r="S107" s="153"/>
      <c r="T107" s="10" t="s">
        <v>185</v>
      </c>
      <c r="U107" s="10" t="s">
        <v>204</v>
      </c>
      <c r="V107" s="153"/>
      <c r="W107" s="10" t="s">
        <v>185</v>
      </c>
      <c r="X107" s="10" t="s">
        <v>204</v>
      </c>
      <c r="Y107" s="10" t="s">
        <v>185</v>
      </c>
      <c r="Z107" s="10" t="s">
        <v>204</v>
      </c>
      <c r="AA107" s="10" t="s">
        <v>243</v>
      </c>
      <c r="AB107" s="10" t="s">
        <v>195</v>
      </c>
      <c r="AC107" s="10" t="s">
        <v>244</v>
      </c>
      <c r="AF107" s="139"/>
      <c r="AG107" s="117"/>
      <c r="AH107" s="153"/>
      <c r="AI107" s="10" t="s">
        <v>185</v>
      </c>
      <c r="AJ107" s="10" t="s">
        <v>204</v>
      </c>
      <c r="AK107" s="153"/>
      <c r="AL107" s="10" t="s">
        <v>185</v>
      </c>
      <c r="AM107" s="10" t="s">
        <v>204</v>
      </c>
      <c r="AN107" s="10" t="s">
        <v>185</v>
      </c>
      <c r="AO107" s="10" t="s">
        <v>204</v>
      </c>
      <c r="AP107" s="10" t="s">
        <v>243</v>
      </c>
      <c r="AQ107" s="10" t="s">
        <v>195</v>
      </c>
      <c r="AR107" s="10" t="s">
        <v>244</v>
      </c>
    </row>
    <row r="108" spans="2:44" ht="15.75" customHeight="1" thickBot="1" x14ac:dyDescent="0.3">
      <c r="B108" s="69" t="s">
        <v>245</v>
      </c>
      <c r="D108" s="125">
        <v>0.15</v>
      </c>
      <c r="E108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)*D108,0)</f>
        <v>23374</v>
      </c>
      <c r="F108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)*D108</f>
        <v>7020.8978752277208</v>
      </c>
      <c r="G108" s="105">
        <f>INDEX('Sites per Region'!$A:$Z, MATCH(B108,'Sites per Region'!$B:$B,0), MATCH(C$104,'Sites per Region'!$8:$8, 0))</f>
        <v>18.5</v>
      </c>
      <c r="H108" s="105">
        <f>_xlfn.LET(
_xlpm.data,'Base Stations Profiles'!$B:$E,
_xlpm.colSite,INDEX(_xlpm.data,,1),
_xlpm.colData,INDEX(_xlpm.data,,2),
_xlpm.rowRegion,MATCH(B108,_xlpm.colSite,0),
_xlpm.rowUser,MATCH("Maximum Simultaneously Active Users per Site",_xlfn.DROP(_xlpm.colSite,_xlpm.rowRegion),0),
INDEX(_xlpm.colData,_xlpm.rowRegion+_xlpm.rowUser))</f>
        <v>2500</v>
      </c>
      <c r="I108" s="124">
        <f>_xlfn.LET(
    _xlpm.data, 'Base Stations Profiles'!$B:$F,
    _xlpm.colSite, INDEX(_xlpm.data,,1),
    _xlpm.colauto, INDEX(_xlpm.data,,3),
    _xlpm.colData, INDEX(_xlpm.data,,2),
    _xlpm.rowRegion, MATCH(B108, _xlpm.colSite, 0),
    _xlpm.rowThroughput, MATCH("Maximum Throughput for Downlink per Site", _xlfn.DROP(_xlpm.colSite, _xlpm.rowRegion), 0),
    IF(INDEX(_xlpm.colauto, _xlpm.rowRegion + _xlpm.rowThroughput)='Model Configurator Sup'!$M$4,VLOOKUP(B108,'Base Stations Parameters'!$B:$E,4,0),INDEX(_xlpm.colData, _xlpm.rowRegion + _xlpm.rowThroughput))
)</f>
        <v>17000</v>
      </c>
      <c r="J108" s="106">
        <f ca="1">IF($G108&lt;=0,0,E108/(H108*$G108))</f>
        <v>0.50538378378378379</v>
      </c>
      <c r="K108" s="106">
        <f ca="1">IF($G108&lt;=0,0,F108/(I108*$G108))</f>
        <v>2.2323999603267794E-2</v>
      </c>
      <c r="L108" s="130">
        <f>VLOOKUP(B108,'Base Stations Parameters'!$B:$D,3,0)</f>
        <v>175000</v>
      </c>
      <c r="M108">
        <f ca="1">ROUNDUP(MAX(E108/H108-G108,F108/I108-G108,0),0)</f>
        <v>0</v>
      </c>
      <c r="N108" s="130">
        <f ca="1">M108*L108</f>
        <v>0</v>
      </c>
      <c r="Q108" s="69" t="s">
        <v>245</v>
      </c>
      <c r="S108" s="125">
        <v>0.15</v>
      </c>
      <c r="T108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)*S108,0)</f>
        <v>28072</v>
      </c>
      <c r="U108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)*S108</f>
        <v>7650.7944216812048</v>
      </c>
      <c r="V108" s="105">
        <f>INDEX('Sites per Region'!$A:$AO, MATCH(Q108,'Sites per Region'!$B:$B,0), MATCH(R$104,'Sites per Region'!$8:$8, 0))</f>
        <v>18.5</v>
      </c>
      <c r="W108" s="105">
        <f>_xlfn.LET(
_xlpm.data,'Base Stations Profiles'!$B:$T,
_xlpm.colSite,INDEX(_xlpm.data,,1),
_xlpm.colData,INDEX(_xlpm.data,,2),
_xlpm.rowRegion,MATCH(Q108,_xlpm.colSite,0),
_xlpm.rowUser,MATCH("Maximum Simultaneously Active Users per Site",_xlfn.DROP(_xlpm.colSite,_xlpm.rowRegion),0),
INDEX(_xlpm.colData,_xlpm.rowRegion+_xlpm.rowUser))</f>
        <v>2500</v>
      </c>
      <c r="X108" s="124">
        <f>_xlfn.LET(
    _xlpm.data, 'Base Stations Profiles'!$B:$U,
    _xlpm.colSite, INDEX(_xlpm.data,,1),
    _xlpm.colauto, INDEX(_xlpm.data,,3),
    _xlpm.colData, INDEX(_xlpm.data,,2),
    _xlpm.rowRegion, MATCH(Q108, _xlpm.colSite, 0),
    _xlpm.rowThroughput, MATCH("Maximum Throughput for Downlink per Site", _xlfn.DROP(_xlpm.colSite, _xlpm.rowRegion), 0),
    IF(INDEX(_xlpm.colauto, _xlpm.rowRegion + _xlpm.rowThroughput)='Model Configurator Sup'!$M$4,VLOOKUP(Q108,'Base Stations Parameters'!$B:$T,4,0),INDEX(_xlpm.colData, _xlpm.rowRegion + _xlpm.rowThroughput))
)</f>
        <v>17000</v>
      </c>
      <c r="Y108" s="106">
        <f ca="1">IF($V108&lt;=0,0,T108/(W108*$V108))</f>
        <v>0.60696216216216214</v>
      </c>
      <c r="Z108" s="106">
        <f ca="1">IF($V108&lt;=0,0,U108/(X108*$V108))</f>
        <v>2.4326850307412416E-2</v>
      </c>
      <c r="AA108" s="130">
        <f>VLOOKUP(Q108,'Base Stations Parameters'!$B:$S,3,0)</f>
        <v>175000</v>
      </c>
      <c r="AB108">
        <f ca="1">ROUNDUP(MAX(T108/W108-V108,U108/X108-V108,0),0)</f>
        <v>0</v>
      </c>
      <c r="AC108" s="130">
        <f ca="1">AB108*AA108</f>
        <v>0</v>
      </c>
      <c r="AF108" s="69" t="s">
        <v>245</v>
      </c>
      <c r="AH108" s="125">
        <v>0.15</v>
      </c>
      <c r="AI108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)*AH108,0)</f>
        <v>47471</v>
      </c>
      <c r="AJ108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)*AH108</f>
        <v>9978.1860429595381</v>
      </c>
      <c r="AK108" s="105">
        <f>INDEX('Sites per Region'!$A:$BD, MATCH(AF108,'Sites per Region'!$B:$B,0), MATCH(AG$104,'Sites per Region'!$8:$8, 0))</f>
        <v>18.5</v>
      </c>
      <c r="AL108" s="105">
        <f>_xlfn.LET(
_xlpm.data,'Base Stations Profiles'!$B:$AI,
_xlpm.colSite,INDEX(_xlpm.data,,1),
_xlpm.colData,INDEX(_xlpm.data,,2),
_xlpm.rowRegion,MATCH(AF108,_xlpm.colSite,0),
_xlpm.rowUser,MATCH("Maximum Simultaneously Active Users per Site",_xlfn.DROP(_xlpm.colSite,_xlpm.rowRegion),0),
INDEX(_xlpm.colData,_xlpm.rowRegion+_xlpm.rowUser))</f>
        <v>2500</v>
      </c>
      <c r="AM108" s="124">
        <f>_xlfn.LET(
    _xlpm.data, 'Base Stations Profiles'!$B:$AJ,
    _xlpm.colSite, INDEX(_xlpm.data,,1),
    _xlpm.colauto, INDEX(_xlpm.data,,3),
    _xlpm.colData, INDEX(_xlpm.data,,2),
    _xlpm.rowRegion, MATCH(AF108, _xlpm.colSite, 0),
    _xlpm.rowThroughput, MATCH("Maximum Throughput for Downlink per Site", _xlfn.DROP(_xlpm.colSite, _xlpm.rowRegion), 0),
    IF(INDEX(_xlpm.colauto, _xlpm.rowRegion + _xlpm.rowThroughput)='Model Configurator Sup'!$M$4,VLOOKUP(AF108,'Base Stations Parameters'!$B:$AI,4,0),INDEX(_xlpm.colData, _xlpm.rowRegion + _xlpm.rowThroughput))
)</f>
        <v>17000</v>
      </c>
      <c r="AN108" s="106">
        <f ca="1">IF($AK108&lt;=0,0,AI108/(AL108*$AK108))</f>
        <v>1.0264</v>
      </c>
      <c r="AO108" s="106">
        <f ca="1">IF($AK108&lt;=0,0,AJ108/(AM108*$AK108))</f>
        <v>3.1727141631031915E-2</v>
      </c>
      <c r="AP108" s="130">
        <f>VLOOKUP(AF108,'Base Stations Parameters'!$B:$AH,3,0)</f>
        <v>175000</v>
      </c>
      <c r="AQ108">
        <f ca="1">ROUNDUP(MAX(AI108/AL108-AK108,AJ108/AM108-AK108,0),0)</f>
        <v>1</v>
      </c>
      <c r="AR108" s="130">
        <f ca="1">AQ108*AP108</f>
        <v>175000</v>
      </c>
    </row>
    <row r="109" spans="2:44" ht="15.75" customHeight="1" thickBot="1" x14ac:dyDescent="0.3">
      <c r="B109" s="69" t="s">
        <v>169</v>
      </c>
      <c r="D109" s="125">
        <v>0.15</v>
      </c>
      <c r="E109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)*D109,0)</f>
        <v>23374</v>
      </c>
      <c r="F109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)*D109</f>
        <v>7020.8978752277208</v>
      </c>
      <c r="G109" s="105">
        <f>INDEX('Sites per Region'!$A:$Z, MATCH(B109,'Sites per Region'!$B:$B,0), MATCH(C$104,'Sites per Region'!$8:$8, 0))</f>
        <v>18.5</v>
      </c>
      <c r="H109" s="105">
        <f>_xlfn.LET(
_xlpm.data,'Base Stations Profiles'!$B:$E,
_xlpm.colSite,INDEX(_xlpm.data,,1),
_xlpm.colData,INDEX(_xlpm.data,,2),
_xlpm.rowRegion,MATCH(B109,_xlpm.colSite,0),
_xlpm.rowUser,MATCH("Maximum Simultaneously Active Users per Site",_xlfn.DROP(_xlpm.colSite,_xlpm.rowRegion),0),
INDEX(_xlpm.colData,_xlpm.rowRegion+_xlpm.rowUser))</f>
        <v>2500</v>
      </c>
      <c r="I109" s="124">
        <f>_xlfn.LET(
    _xlpm.data, 'Base Stations Profiles'!$B:$F,
    _xlpm.colSite, INDEX(_xlpm.data,,1),
    _xlpm.colauto, INDEX(_xlpm.data,,3),
    _xlpm.colData, INDEX(_xlpm.data,,2),
    _xlpm.rowRegion, MATCH(B109, _xlpm.colSite, 0),
    _xlpm.rowThroughput, MATCH("Maximum Throughput for Downlink per Site", _xlfn.DROP(_xlpm.colSite, _xlpm.rowRegion), 0),
    IF(INDEX(_xlpm.colauto, _xlpm.rowRegion + _xlpm.rowThroughput)='Model Configurator Sup'!$M$4,VLOOKUP(B109,'Base Stations Parameters'!$B:$E,4,0),INDEX(_xlpm.colData, _xlpm.rowRegion + _xlpm.rowThroughput))
)</f>
        <v>17000</v>
      </c>
      <c r="J109" s="106">
        <f ca="1">IF($G109&lt;=0,0,E109/(H109*$G109))</f>
        <v>0.50538378378378379</v>
      </c>
      <c r="K109" s="106">
        <f ca="1">IF($G109&lt;=0,0,F109/(I109*$G109))</f>
        <v>2.2323999603267794E-2</v>
      </c>
      <c r="L109" s="130">
        <f>VLOOKUP(B109,'Base Stations Parameters'!$B:$D,3,0)</f>
        <v>145000</v>
      </c>
      <c r="M109">
        <f ca="1">ROUNDUP(MAX(E109/H109-G109,F109/I109-G109,0),0)</f>
        <v>0</v>
      </c>
      <c r="N109" s="130">
        <f ca="1">M109*L109</f>
        <v>0</v>
      </c>
      <c r="Q109" s="69" t="s">
        <v>169</v>
      </c>
      <c r="S109" s="125">
        <v>0.15</v>
      </c>
      <c r="T109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)*S109,0)</f>
        <v>28072</v>
      </c>
      <c r="U109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)*S109</f>
        <v>7650.7944216812048</v>
      </c>
      <c r="V109" s="105">
        <f>INDEX('Sites per Region'!$A:$AO, MATCH(Q109,'Sites per Region'!$B:$B,0), MATCH(R$104,'Sites per Region'!$8:$8, 0))</f>
        <v>18.5</v>
      </c>
      <c r="W109" s="105">
        <f>_xlfn.LET(
_xlpm.data,'Base Stations Profiles'!$B:$T,
_xlpm.colSite,INDEX(_xlpm.data,,1),
_xlpm.colData,INDEX(_xlpm.data,,2),
_xlpm.rowRegion,MATCH(Q109,_xlpm.colSite,0),
_xlpm.rowUser,MATCH("Maximum Simultaneously Active Users per Site",_xlfn.DROP(_xlpm.colSite,_xlpm.rowRegion),0),
INDEX(_xlpm.colData,_xlpm.rowRegion+_xlpm.rowUser))</f>
        <v>2500</v>
      </c>
      <c r="X109" s="124">
        <f>_xlfn.LET(
    _xlpm.data, 'Base Stations Profiles'!$B:$U,
    _xlpm.colSite, INDEX(_xlpm.data,,1),
    _xlpm.colauto, INDEX(_xlpm.data,,3),
    _xlpm.colData, INDEX(_xlpm.data,,2),
    _xlpm.rowRegion, MATCH(Q109, _xlpm.colSite, 0),
    _xlpm.rowThroughput, MATCH("Maximum Throughput for Downlink per Site", _xlfn.DROP(_xlpm.colSite, _xlpm.rowRegion), 0),
    IF(INDEX(_xlpm.colauto, _xlpm.rowRegion + _xlpm.rowThroughput)='Model Configurator Sup'!$M$4,VLOOKUP(Q109,'Base Stations Parameters'!$B:$T,4,0),INDEX(_xlpm.colData, _xlpm.rowRegion + _xlpm.rowThroughput))
)</f>
        <v>17000</v>
      </c>
      <c r="Y109" s="106">
        <f ca="1">IF($V109&lt;=0,0,T109/(W109*$V109))</f>
        <v>0.60696216216216214</v>
      </c>
      <c r="Z109" s="106">
        <f ca="1">IF($V109&lt;=0,0,U109/(X109*$V109))</f>
        <v>2.4326850307412416E-2</v>
      </c>
      <c r="AA109" s="130">
        <f>VLOOKUP(Q109,'Base Stations Parameters'!$B:$S,3,0)</f>
        <v>145000</v>
      </c>
      <c r="AB109">
        <f ca="1">ROUNDUP(MAX(T109/W109-V109,U109/X109-V109,0),0)</f>
        <v>0</v>
      </c>
      <c r="AC109" s="130">
        <f ca="1">AB109*AA109</f>
        <v>0</v>
      </c>
      <c r="AF109" s="69" t="s">
        <v>169</v>
      </c>
      <c r="AH109" s="125">
        <v>0.15</v>
      </c>
      <c r="AI109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)*AH109,0)</f>
        <v>47471</v>
      </c>
      <c r="AJ109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)*AH109</f>
        <v>9978.1860429595381</v>
      </c>
      <c r="AK109" s="105">
        <f>INDEX('Sites per Region'!$A:$BD, MATCH(AF109,'Sites per Region'!$B:$B,0), MATCH(AG$104,'Sites per Region'!$8:$8, 0))</f>
        <v>18.5</v>
      </c>
      <c r="AL109" s="105">
        <f>_xlfn.LET(
_xlpm.data,'Base Stations Profiles'!$B:$AI,
_xlpm.colSite,INDEX(_xlpm.data,,1),
_xlpm.colData,INDEX(_xlpm.data,,2),
_xlpm.rowRegion,MATCH(AF109,_xlpm.colSite,0),
_xlpm.rowUser,MATCH("Maximum Simultaneously Active Users per Site",_xlfn.DROP(_xlpm.colSite,_xlpm.rowRegion),0),
INDEX(_xlpm.colData,_xlpm.rowRegion+_xlpm.rowUser))</f>
        <v>2500</v>
      </c>
      <c r="AM109" s="124">
        <f>_xlfn.LET(
    _xlpm.data, 'Base Stations Profiles'!$B:$AJ,
    _xlpm.colSite, INDEX(_xlpm.data,,1),
    _xlpm.colauto, INDEX(_xlpm.data,,3),
    _xlpm.colData, INDEX(_xlpm.data,,2),
    _xlpm.rowRegion, MATCH(AF109, _xlpm.colSite, 0),
    _xlpm.rowThroughput, MATCH("Maximum Throughput for Downlink per Site", _xlfn.DROP(_xlpm.colSite, _xlpm.rowRegion), 0),
    IF(INDEX(_xlpm.colauto, _xlpm.rowRegion + _xlpm.rowThroughput)='Model Configurator Sup'!$M$4,VLOOKUP(AF109,'Base Stations Parameters'!$B:$AI,4,0),INDEX(_xlpm.colData, _xlpm.rowRegion + _xlpm.rowThroughput))
)</f>
        <v>17000</v>
      </c>
      <c r="AN109" s="106">
        <f ca="1">IF($AK109&lt;=0,0,AI109/(AL109*$AK109))</f>
        <v>1.0264</v>
      </c>
      <c r="AO109" s="106">
        <f ca="1">IF($AK109&lt;=0,0,AJ109/(AM109*$AK109))</f>
        <v>3.1727141631031915E-2</v>
      </c>
      <c r="AP109" s="130">
        <f>VLOOKUP(AF109,'Base Stations Parameters'!$B:$AH,3,0)</f>
        <v>145000</v>
      </c>
      <c r="AQ109">
        <f ca="1">ROUNDUP(MAX(AI109/AL109-AK109,AJ109/AM109-AK109,0),0)</f>
        <v>1</v>
      </c>
      <c r="AR109" s="130">
        <f ca="1">AQ109*AP109</f>
        <v>145000</v>
      </c>
    </row>
    <row r="110" spans="2:44" ht="15.75" customHeight="1" thickBot="1" x14ac:dyDescent="0.3">
      <c r="B110" s="69" t="s">
        <v>246</v>
      </c>
      <c r="D110" s="125">
        <v>0.15</v>
      </c>
      <c r="E110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)*D110,0)</f>
        <v>23374</v>
      </c>
      <c r="F110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)*D110</f>
        <v>7020.8978752277208</v>
      </c>
      <c r="G110" s="105">
        <f>INDEX('Sites per Region'!$A:$Z, MATCH(B110,'Sites per Region'!$B:$B,0), MATCH(C$104,'Sites per Region'!$8:$8, 0))</f>
        <v>30</v>
      </c>
      <c r="H110" s="105">
        <f>_xlfn.LET(
_xlpm.data,'Base Stations Profiles'!$B:$E,
_xlpm.colSite,INDEX(_xlpm.data,,1),
_xlpm.colData,INDEX(_xlpm.data,,2),
_xlpm.rowRegion,MATCH(B110,_xlpm.colSite,0),
_xlpm.rowUser,MATCH("Maximum Simultaneously Active Users per Site",_xlfn.DROP(_xlpm.colSite,_xlpm.rowRegion),0),
INDEX(_xlpm.colData,_xlpm.rowRegion+_xlpm.rowUser))</f>
        <v>1500</v>
      </c>
      <c r="I110" s="124">
        <f>_xlfn.LET(
    _xlpm.data, 'Base Stations Profiles'!$B:$F,
    _xlpm.colSite, INDEX(_xlpm.data,,1),
    _xlpm.colauto, INDEX(_xlpm.data,,3),
    _xlpm.colData, INDEX(_xlpm.data,,2),
    _xlpm.rowRegion, MATCH(B110, _xlpm.colSite, 0),
    _xlpm.rowThroughput, MATCH("Maximum Throughput for Downlink per Site", _xlfn.DROP(_xlpm.colSite, _xlpm.rowRegion), 0),
    IF(INDEX(_xlpm.colauto, _xlpm.rowRegion + _xlpm.rowThroughput)='Model Configurator Sup'!$M$4,VLOOKUP(B110,'Base Stations Parameters'!$B:$E,4,0),INDEX(_xlpm.colData, _xlpm.rowRegion + _xlpm.rowThroughput))
)</f>
        <v>12000</v>
      </c>
      <c r="J110" s="106">
        <f ca="1">IF($G110&lt;=0,0,E110/(H110*$G110))</f>
        <v>0.51942222222222223</v>
      </c>
      <c r="K110" s="106">
        <f ca="1">IF($G110&lt;=0,0,F110/(I110*$G110))</f>
        <v>1.9502494097854779E-2</v>
      </c>
      <c r="L110" s="130">
        <f>VLOOKUP(B110,'Base Stations Parameters'!$B:$D,3,0)</f>
        <v>145000</v>
      </c>
      <c r="M110">
        <f ca="1">ROUNDUP(MAX(E110/H110-G110,F110/I110-G110,0),0)</f>
        <v>0</v>
      </c>
      <c r="N110" s="130">
        <f ca="1">M110*L110</f>
        <v>0</v>
      </c>
      <c r="Q110" s="69" t="s">
        <v>246</v>
      </c>
      <c r="S110" s="125">
        <v>0.15</v>
      </c>
      <c r="T110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)*S110,0)</f>
        <v>28072</v>
      </c>
      <c r="U110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)*S110</f>
        <v>7650.7944216812048</v>
      </c>
      <c r="V110" s="105">
        <f>INDEX('Sites per Region'!$A:$AO, MATCH(Q110,'Sites per Region'!$B:$B,0), MATCH(R$104,'Sites per Region'!$8:$8, 0))</f>
        <v>30</v>
      </c>
      <c r="W110" s="105">
        <f>_xlfn.LET(
_xlpm.data,'Base Stations Profiles'!$B:$T,
_xlpm.colSite,INDEX(_xlpm.data,,1),
_xlpm.colData,INDEX(_xlpm.data,,2),
_xlpm.rowRegion,MATCH(Q110,_xlpm.colSite,0),
_xlpm.rowUser,MATCH("Maximum Simultaneously Active Users per Site",_xlfn.DROP(_xlpm.colSite,_xlpm.rowRegion),0),
INDEX(_xlpm.colData,_xlpm.rowRegion+_xlpm.rowUser))</f>
        <v>1500</v>
      </c>
      <c r="X110" s="124">
        <f>_xlfn.LET(
    _xlpm.data, 'Base Stations Profiles'!$B:$U,
    _xlpm.colSite, INDEX(_xlpm.data,,1),
    _xlpm.colauto, INDEX(_xlpm.data,,3),
    _xlpm.colData, INDEX(_xlpm.data,,2),
    _xlpm.rowRegion, MATCH(Q110, _xlpm.colSite, 0),
    _xlpm.rowThroughput, MATCH("Maximum Throughput for Downlink per Site", _xlfn.DROP(_xlpm.colSite, _xlpm.rowRegion), 0),
    IF(INDEX(_xlpm.colauto, _xlpm.rowRegion + _xlpm.rowThroughput)='Model Configurator Sup'!$M$4,VLOOKUP(Q110,'Base Stations Parameters'!$B:$T,4,0),INDEX(_xlpm.colData, _xlpm.rowRegion + _xlpm.rowThroughput))
)</f>
        <v>12000</v>
      </c>
      <c r="Y110" s="106">
        <f ca="1">IF($V110&lt;=0,0,T110/(W110*$V110))</f>
        <v>0.62382222222222217</v>
      </c>
      <c r="Z110" s="106">
        <f ca="1">IF($V110&lt;=0,0,U110/(X110*$V110))</f>
        <v>2.1252206726892237E-2</v>
      </c>
      <c r="AA110" s="130">
        <f>VLOOKUP(Q110,'Base Stations Parameters'!$B:$S,3,0)</f>
        <v>145000</v>
      </c>
      <c r="AB110">
        <f ca="1">ROUNDUP(MAX(T110/W110-V110,U110/X110-V110,0),0)</f>
        <v>0</v>
      </c>
      <c r="AC110" s="130">
        <f ca="1">AB110*AA110</f>
        <v>0</v>
      </c>
      <c r="AF110" s="69" t="s">
        <v>246</v>
      </c>
      <c r="AH110" s="125">
        <v>0.15</v>
      </c>
      <c r="AI110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)*AH110,0)</f>
        <v>47471</v>
      </c>
      <c r="AJ110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)*AH110</f>
        <v>9978.1860429595381</v>
      </c>
      <c r="AK110" s="105">
        <f>INDEX('Sites per Region'!$A:$BD, MATCH(AF110,'Sites per Region'!$B:$B,0), MATCH(AG$104,'Sites per Region'!$8:$8, 0))</f>
        <v>30</v>
      </c>
      <c r="AL110" s="105">
        <f>_xlfn.LET(
_xlpm.data,'Base Stations Profiles'!$B:$AI,
_xlpm.colSite,INDEX(_xlpm.data,,1),
_xlpm.colData,INDEX(_xlpm.data,,2),
_xlpm.rowRegion,MATCH(AF110,_xlpm.colSite,0),
_xlpm.rowUser,MATCH("Maximum Simultaneously Active Users per Site",_xlfn.DROP(_xlpm.colSite,_xlpm.rowRegion),0),
INDEX(_xlpm.colData,_xlpm.rowRegion+_xlpm.rowUser))</f>
        <v>1500</v>
      </c>
      <c r="AM110" s="124">
        <f>_xlfn.LET(
    _xlpm.data, 'Base Stations Profiles'!$B:$AJ,
    _xlpm.colSite, INDEX(_xlpm.data,,1),
    _xlpm.colauto, INDEX(_xlpm.data,,3),
    _xlpm.colData, INDEX(_xlpm.data,,2),
    _xlpm.rowRegion, MATCH(AF110, _xlpm.colSite, 0),
    _xlpm.rowThroughput, MATCH("Maximum Throughput for Downlink per Site", _xlfn.DROP(_xlpm.colSite, _xlpm.rowRegion), 0),
    IF(INDEX(_xlpm.colauto, _xlpm.rowRegion + _xlpm.rowThroughput)='Model Configurator Sup'!$M$4,VLOOKUP(AF110,'Base Stations Parameters'!$B:$AI,4,0),INDEX(_xlpm.colData, _xlpm.rowRegion + _xlpm.rowThroughput))
)</f>
        <v>12000</v>
      </c>
      <c r="AN110" s="106">
        <f ca="1">IF($AK110&lt;=0,0,AI110/(AL110*$AK110))</f>
        <v>1.0549111111111111</v>
      </c>
      <c r="AO110" s="106">
        <f ca="1">IF($AK110&lt;=0,0,AJ110/(AM110*$AK110))</f>
        <v>2.7717183452665384E-2</v>
      </c>
      <c r="AP110" s="130">
        <f>VLOOKUP(AF110,'Base Stations Parameters'!$B:$AH,3,0)</f>
        <v>145000</v>
      </c>
      <c r="AQ110">
        <f ca="1">ROUNDUP(MAX(AI110/AL110-AK110,AJ110/AM110-AK110,0),0)</f>
        <v>2</v>
      </c>
      <c r="AR110" s="130">
        <f ca="1">AQ110*AP110</f>
        <v>290000</v>
      </c>
    </row>
    <row r="111" spans="2:44" ht="15.75" customHeight="1" thickBot="1" x14ac:dyDescent="0.3">
      <c r="B111" s="69" t="s">
        <v>170</v>
      </c>
      <c r="D111" s="125">
        <v>0.15</v>
      </c>
      <c r="E111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)*D111,0)</f>
        <v>23374</v>
      </c>
      <c r="F111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)*D111</f>
        <v>7020.8978752277208</v>
      </c>
      <c r="G111" s="105">
        <f>INDEX('Sites per Region'!$A:$Z, MATCH(B111,'Sites per Region'!$B:$B,0), MATCH(C$104,'Sites per Region'!$8:$8, 0))</f>
        <v>30</v>
      </c>
      <c r="H111" s="105">
        <f>_xlfn.LET(
_xlpm.data,'Base Stations Profiles'!$B:$E,
_xlpm.colSite,INDEX(_xlpm.data,,1),
_xlpm.colData,INDEX(_xlpm.data,,2),
_xlpm.rowRegion,MATCH(B111,_xlpm.colSite,0),
_xlpm.rowUser,MATCH("Maximum Simultaneously Active Users per Site",_xlfn.DROP(_xlpm.colSite,_xlpm.rowRegion),0),
INDEX(_xlpm.colData,_xlpm.rowRegion+_xlpm.rowUser))</f>
        <v>1500</v>
      </c>
      <c r="I111" s="124">
        <f>_xlfn.LET(
    _xlpm.data, 'Base Stations Profiles'!$B:$F,
    _xlpm.colSite, INDEX(_xlpm.data,,1),
    _xlpm.colauto, INDEX(_xlpm.data,,3),
    _xlpm.colData, INDEX(_xlpm.data,,2),
    _xlpm.rowRegion, MATCH(B111, _xlpm.colSite, 0),
    _xlpm.rowThroughput, MATCH("Maximum Throughput for Downlink per Site", _xlfn.DROP(_xlpm.colSite, _xlpm.rowRegion), 0),
    IF(INDEX(_xlpm.colauto, _xlpm.rowRegion + _xlpm.rowThroughput)='Model Configurator Sup'!$M$4,VLOOKUP(B111,'Base Stations Parameters'!$B:$E,4,0),INDEX(_xlpm.colData, _xlpm.rowRegion + _xlpm.rowThroughput))
)</f>
        <v>12000</v>
      </c>
      <c r="J111" s="106">
        <f ca="1">IF($G111&lt;=0,0,E111/(H111*$G111))</f>
        <v>0.51942222222222223</v>
      </c>
      <c r="K111" s="106">
        <f ca="1">IF($G111&lt;=0,0,F111/(I111*$G111))</f>
        <v>1.9502494097854779E-2</v>
      </c>
      <c r="L111" s="130">
        <f>VLOOKUP(B111,'Base Stations Parameters'!$B:$D,3,0)</f>
        <v>100000</v>
      </c>
      <c r="M111">
        <f ca="1">ROUNDUP(MAX(E111/H111-G111,F111/I111-G111,0),0)</f>
        <v>0</v>
      </c>
      <c r="N111" s="130">
        <f ca="1">M111*L111</f>
        <v>0</v>
      </c>
      <c r="Q111" s="69" t="s">
        <v>170</v>
      </c>
      <c r="S111" s="125">
        <v>0.15</v>
      </c>
      <c r="T111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)*S111,0)</f>
        <v>28072</v>
      </c>
      <c r="U111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)*S111</f>
        <v>7650.7944216812048</v>
      </c>
      <c r="V111" s="105">
        <f>INDEX('Sites per Region'!$A:$AO, MATCH(Q111,'Sites per Region'!$B:$B,0), MATCH(R$104,'Sites per Region'!$8:$8, 0))</f>
        <v>30</v>
      </c>
      <c r="W111" s="105">
        <f>_xlfn.LET(
_xlpm.data,'Base Stations Profiles'!$B:$T,
_xlpm.colSite,INDEX(_xlpm.data,,1),
_xlpm.colData,INDEX(_xlpm.data,,2),
_xlpm.rowRegion,MATCH(Q111,_xlpm.colSite,0),
_xlpm.rowUser,MATCH("Maximum Simultaneously Active Users per Site",_xlfn.DROP(_xlpm.colSite,_xlpm.rowRegion),0),
INDEX(_xlpm.colData,_xlpm.rowRegion+_xlpm.rowUser))</f>
        <v>1500</v>
      </c>
      <c r="X111" s="124">
        <f>_xlfn.LET(
    _xlpm.data, 'Base Stations Profiles'!$B:$U,
    _xlpm.colSite, INDEX(_xlpm.data,,1),
    _xlpm.colauto, INDEX(_xlpm.data,,3),
    _xlpm.colData, INDEX(_xlpm.data,,2),
    _xlpm.rowRegion, MATCH(Q111, _xlpm.colSite, 0),
    _xlpm.rowThroughput, MATCH("Maximum Throughput for Downlink per Site", _xlfn.DROP(_xlpm.colSite, _xlpm.rowRegion), 0),
    IF(INDEX(_xlpm.colauto, _xlpm.rowRegion + _xlpm.rowThroughput)='Model Configurator Sup'!$M$4,VLOOKUP(Q111,'Base Stations Parameters'!$B:$T,4,0),INDEX(_xlpm.colData, _xlpm.rowRegion + _xlpm.rowThroughput))
)</f>
        <v>12000</v>
      </c>
      <c r="Y111" s="106">
        <f ca="1">IF($V111&lt;=0,0,T111/(W111*$V111))</f>
        <v>0.62382222222222217</v>
      </c>
      <c r="Z111" s="106">
        <f ca="1">IF($V111&lt;=0,0,U111/(X111*$V111))</f>
        <v>2.1252206726892237E-2</v>
      </c>
      <c r="AA111" s="130">
        <f>VLOOKUP(Q111,'Base Stations Parameters'!$B:$S,3,0)</f>
        <v>100000</v>
      </c>
      <c r="AB111">
        <f ca="1">ROUNDUP(MAX(T111/W111-V111,U111/X111-V111,0),0)</f>
        <v>0</v>
      </c>
      <c r="AC111" s="130">
        <f ca="1">AB111*AA111</f>
        <v>0</v>
      </c>
      <c r="AF111" s="69" t="s">
        <v>170</v>
      </c>
      <c r="AH111" s="125">
        <v>0.15</v>
      </c>
      <c r="AI111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)*AH111,0)</f>
        <v>47471</v>
      </c>
      <c r="AJ111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)*AH111</f>
        <v>9978.1860429595381</v>
      </c>
      <c r="AK111" s="105">
        <f>INDEX('Sites per Region'!$A:$BD, MATCH(AF111,'Sites per Region'!$B:$B,0), MATCH(AG$104,'Sites per Region'!$8:$8, 0))</f>
        <v>30</v>
      </c>
      <c r="AL111" s="105">
        <f>_xlfn.LET(
_xlpm.data,'Base Stations Profiles'!$B:$AI,
_xlpm.colSite,INDEX(_xlpm.data,,1),
_xlpm.colData,INDEX(_xlpm.data,,2),
_xlpm.rowRegion,MATCH(AF111,_xlpm.colSite,0),
_xlpm.rowUser,MATCH("Maximum Simultaneously Active Users per Site",_xlfn.DROP(_xlpm.colSite,_xlpm.rowRegion),0),
INDEX(_xlpm.colData,_xlpm.rowRegion+_xlpm.rowUser))</f>
        <v>1500</v>
      </c>
      <c r="AM111" s="124">
        <f>_xlfn.LET(
    _xlpm.data, 'Base Stations Profiles'!$B:$AJ,
    _xlpm.colSite, INDEX(_xlpm.data,,1),
    _xlpm.colauto, INDEX(_xlpm.data,,3),
    _xlpm.colData, INDEX(_xlpm.data,,2),
    _xlpm.rowRegion, MATCH(AF111, _xlpm.colSite, 0),
    _xlpm.rowThroughput, MATCH("Maximum Throughput for Downlink per Site", _xlfn.DROP(_xlpm.colSite, _xlpm.rowRegion), 0),
    IF(INDEX(_xlpm.colauto, _xlpm.rowRegion + _xlpm.rowThroughput)='Model Configurator Sup'!$M$4,VLOOKUP(AF111,'Base Stations Parameters'!$B:$AI,4,0),INDEX(_xlpm.colData, _xlpm.rowRegion + _xlpm.rowThroughput))
)</f>
        <v>12000</v>
      </c>
      <c r="AN111" s="106">
        <f ca="1">IF($AK111&lt;=0,0,AI111/(AL111*$AK111))</f>
        <v>1.0549111111111111</v>
      </c>
      <c r="AO111" s="106">
        <f ca="1">IF($AK111&lt;=0,0,AJ111/(AM111*$AK111))</f>
        <v>2.7717183452665384E-2</v>
      </c>
      <c r="AP111" s="130">
        <f>VLOOKUP(AF111,'Base Stations Parameters'!$B:$AH,3,0)</f>
        <v>100000</v>
      </c>
      <c r="AQ111">
        <f ca="1">ROUNDUP(MAX(AI111/AL111-AK111,AJ111/AM111-AK111,0),0)</f>
        <v>2</v>
      </c>
      <c r="AR111" s="130">
        <f ca="1">AQ111*AP111</f>
        <v>200000</v>
      </c>
    </row>
    <row r="112" spans="2:44" ht="15.75" customHeight="1" thickBot="1" x14ac:dyDescent="0.3">
      <c r="B112" s="69" t="s">
        <v>247</v>
      </c>
      <c r="D112" s="125">
        <v>7.4999999999999997E-2</v>
      </c>
      <c r="E112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)*D112,0)</f>
        <v>11687</v>
      </c>
      <c r="F112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)*D112</f>
        <v>3510.4489376138604</v>
      </c>
      <c r="G112" s="105">
        <f>INDEX('Sites per Region'!$A:$Z, MATCH(B112,'Sites per Region'!$B:$B,0), MATCH(C$104,'Sites per Region'!$8:$8, 0))</f>
        <v>29</v>
      </c>
      <c r="H112" s="105">
        <f>_xlfn.LET(
_xlpm.data,'Base Stations Profiles'!$B:$E,
_xlpm.colSite,INDEX(_xlpm.data,,1),
_xlpm.colData,INDEX(_xlpm.data,,2),
_xlpm.rowRegion,MATCH(B112,_xlpm.colSite,0),
_xlpm.rowUser,MATCH("Maximum Simultaneously Active Users per Site",_xlfn.DROP(_xlpm.colSite,_xlpm.rowRegion),0),
INDEX(_xlpm.colData,_xlpm.rowRegion+_xlpm.rowUser))</f>
        <v>750</v>
      </c>
      <c r="I112" s="124">
        <f>_xlfn.LET(
    _xlpm.data, 'Base Stations Profiles'!$B:$F,
    _xlpm.colSite, INDEX(_xlpm.data,,1),
    _xlpm.colauto, INDEX(_xlpm.data,,3),
    _xlpm.colData, INDEX(_xlpm.data,,2),
    _xlpm.rowRegion, MATCH(B112, _xlpm.colSite, 0),
    _xlpm.rowThroughput, MATCH("Maximum Throughput for Downlink per Site", _xlfn.DROP(_xlpm.colSite, _xlpm.rowRegion), 0),
    IF(INDEX(_xlpm.colauto, _xlpm.rowRegion + _xlpm.rowThroughput)='Model Configurator Sup'!$M$4,VLOOKUP(B112,'Base Stations Parameters'!$B:$E,4,0),INDEX(_xlpm.colData, _xlpm.rowRegion + _xlpm.rowThroughput))
)</f>
        <v>5000</v>
      </c>
      <c r="J112" s="106">
        <f ca="1">IF($G112&lt;=0,0,E112/(H112*$G112))</f>
        <v>0.53733333333333333</v>
      </c>
      <c r="K112" s="106">
        <f ca="1">IF($G112&lt;=0,0,F112/(I112*$G112))</f>
        <v>2.4209992673199038E-2</v>
      </c>
      <c r="L112" s="130">
        <f>VLOOKUP(B112,'Base Stations Parameters'!$B:$D,3,0)</f>
        <v>100000</v>
      </c>
      <c r="M112">
        <f ca="1">ROUNDUP(MAX(E112/H112-G112,F112/I112-G112,0),0)</f>
        <v>0</v>
      </c>
      <c r="N112" s="130">
        <f ca="1">M112*L112</f>
        <v>0</v>
      </c>
      <c r="Q112" s="69" t="s">
        <v>247</v>
      </c>
      <c r="S112" s="125">
        <v>7.4999999999999997E-2</v>
      </c>
      <c r="T112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)*S112,0)</f>
        <v>14036</v>
      </c>
      <c r="U112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)*S112</f>
        <v>3825.3972108406024</v>
      </c>
      <c r="V112" s="105">
        <f>INDEX('Sites per Region'!$A:$AO, MATCH(Q112,'Sites per Region'!$B:$B,0), MATCH(R$104,'Sites per Region'!$8:$8, 0))</f>
        <v>29</v>
      </c>
      <c r="W112" s="105">
        <f>_xlfn.LET(
_xlpm.data,'Base Stations Profiles'!$B:$T,
_xlpm.colSite,INDEX(_xlpm.data,,1),
_xlpm.colData,INDEX(_xlpm.data,,2),
_xlpm.rowRegion,MATCH(Q112,_xlpm.colSite,0),
_xlpm.rowUser,MATCH("Maximum Simultaneously Active Users per Site",_xlfn.DROP(_xlpm.colSite,_xlpm.rowRegion),0),
INDEX(_xlpm.colData,_xlpm.rowRegion+_xlpm.rowUser))</f>
        <v>750</v>
      </c>
      <c r="X112" s="124">
        <f>_xlfn.LET(
    _xlpm.data, 'Base Stations Profiles'!$B:$U,
    _xlpm.colSite, INDEX(_xlpm.data,,1),
    _xlpm.colauto, INDEX(_xlpm.data,,3),
    _xlpm.colData, INDEX(_xlpm.data,,2),
    _xlpm.rowRegion, MATCH(Q112, _xlpm.colSite, 0),
    _xlpm.rowThroughput, MATCH("Maximum Throughput for Downlink per Site", _xlfn.DROP(_xlpm.colSite, _xlpm.rowRegion), 0),
    IF(INDEX(_xlpm.colauto, _xlpm.rowRegion + _xlpm.rowThroughput)='Model Configurator Sup'!$M$4,VLOOKUP(Q112,'Base Stations Parameters'!$B:$T,4,0),INDEX(_xlpm.colData, _xlpm.rowRegion + _xlpm.rowThroughput))
)</f>
        <v>5000</v>
      </c>
      <c r="Y112" s="106">
        <f ca="1">IF($V112&lt;=0,0,T112/(W112*$V112))</f>
        <v>0.64533333333333331</v>
      </c>
      <c r="Z112" s="106">
        <f ca="1">IF($V112&lt;=0,0,U112/(X112*$V112))</f>
        <v>2.638204972993519E-2</v>
      </c>
      <c r="AA112" s="130">
        <f>VLOOKUP(Q112,'Base Stations Parameters'!$B:$S,3,0)</f>
        <v>100000</v>
      </c>
      <c r="AB112">
        <f ca="1">ROUNDUP(MAX(T112/W112-V112,U112/X112-V112,0),0)</f>
        <v>0</v>
      </c>
      <c r="AC112" s="130">
        <f ca="1">AB112*AA112</f>
        <v>0</v>
      </c>
      <c r="AF112" s="69" t="s">
        <v>247</v>
      </c>
      <c r="AH112" s="125">
        <v>7.4999999999999997E-2</v>
      </c>
      <c r="AI112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)*AH112,0)</f>
        <v>23735</v>
      </c>
      <c r="AJ112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)*AH112</f>
        <v>4989.093021479769</v>
      </c>
      <c r="AK112" s="105">
        <f>INDEX('Sites per Region'!$A:$BD, MATCH(AF112,'Sites per Region'!$B:$B,0), MATCH(AG$104,'Sites per Region'!$8:$8, 0))</f>
        <v>29</v>
      </c>
      <c r="AL112" s="105">
        <f>_xlfn.LET(
_xlpm.data,'Base Stations Profiles'!$B:$AI,
_xlpm.colSite,INDEX(_xlpm.data,,1),
_xlpm.colData,INDEX(_xlpm.data,,2),
_xlpm.rowRegion,MATCH(AF112,_xlpm.colSite,0),
_xlpm.rowUser,MATCH("Maximum Simultaneously Active Users per Site",_xlfn.DROP(_xlpm.colSite,_xlpm.rowRegion),0),
INDEX(_xlpm.colData,_xlpm.rowRegion+_xlpm.rowUser))</f>
        <v>750</v>
      </c>
      <c r="AM112" s="124">
        <f>_xlfn.LET(
    _xlpm.data, 'Base Stations Profiles'!$B:$AJ,
    _xlpm.colSite, INDEX(_xlpm.data,,1),
    _xlpm.colauto, INDEX(_xlpm.data,,3),
    _xlpm.colData, INDEX(_xlpm.data,,2),
    _xlpm.rowRegion, MATCH(AF112, _xlpm.colSite, 0),
    _xlpm.rowThroughput, MATCH("Maximum Throughput for Downlink per Site", _xlfn.DROP(_xlpm.colSite, _xlpm.rowRegion), 0),
    IF(INDEX(_xlpm.colauto, _xlpm.rowRegion + _xlpm.rowThroughput)='Model Configurator Sup'!$M$4,VLOOKUP(AF112,'Base Stations Parameters'!$B:$AI,4,0),INDEX(_xlpm.colData, _xlpm.rowRegion + _xlpm.rowThroughput))
)</f>
        <v>5000</v>
      </c>
      <c r="AN112" s="106">
        <f ca="1">IF($AK112&lt;=0,0,AI112/(AL112*$AK112))</f>
        <v>1.091264367816092</v>
      </c>
      <c r="AO112" s="106">
        <f ca="1">IF($AK112&lt;=0,0,AJ112/(AM112*$AK112))</f>
        <v>3.4407538079170824E-2</v>
      </c>
      <c r="AP112" s="130">
        <f>VLOOKUP(AF112,'Base Stations Parameters'!$B:$AH,3,0)</f>
        <v>100000</v>
      </c>
      <c r="AQ112">
        <f ca="1">ROUNDUP(MAX(AI112/AL112-AK112,AJ112/AM112-AK112,0),0)</f>
        <v>3</v>
      </c>
      <c r="AR112" s="130">
        <f ca="1">AQ112*AP112</f>
        <v>300000</v>
      </c>
    </row>
    <row r="113" spans="2:44" ht="15.75" customHeight="1" thickBot="1" x14ac:dyDescent="0.3">
      <c r="B113" s="69" t="s">
        <v>171</v>
      </c>
      <c r="D113" s="125">
        <v>7.4999999999999997E-2</v>
      </c>
      <c r="E113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)*D113,0)</f>
        <v>11687</v>
      </c>
      <c r="F113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)*D113</f>
        <v>3510.4489376138604</v>
      </c>
      <c r="G113" s="105">
        <f>INDEX('Sites per Region'!$A:$Z, MATCH(B113,'Sites per Region'!$B:$B,0), MATCH(C$104,'Sites per Region'!$8:$8, 0))</f>
        <v>29</v>
      </c>
      <c r="H113" s="105">
        <f>_xlfn.LET(
_xlpm.data,'Base Stations Profiles'!$B:$E,
_xlpm.colSite,INDEX(_xlpm.data,,1),
_xlpm.colData,INDEX(_xlpm.data,,2),
_xlpm.rowRegion,MATCH(B113,_xlpm.colSite,0),
_xlpm.rowUser,MATCH("Maximum Simultaneously Active Users per Site",_xlfn.DROP(_xlpm.colSite,_xlpm.rowRegion),0),
INDEX(_xlpm.colData,_xlpm.rowRegion+_xlpm.rowUser))</f>
        <v>750</v>
      </c>
      <c r="I113" s="124">
        <f>_xlfn.LET(
    _xlpm.data, 'Base Stations Profiles'!$B:$F,
    _xlpm.colSite, INDEX(_xlpm.data,,1),
    _xlpm.colauto, INDEX(_xlpm.data,,3),
    _xlpm.colData, INDEX(_xlpm.data,,2),
    _xlpm.rowRegion, MATCH(B113, _xlpm.colSite, 0),
    _xlpm.rowThroughput, MATCH("Maximum Throughput for Downlink per Site", _xlfn.DROP(_xlpm.colSite, _xlpm.rowRegion), 0),
    IF(INDEX(_xlpm.colauto, _xlpm.rowRegion + _xlpm.rowThroughput)='Model Configurator Sup'!$M$4,VLOOKUP(B113,'Base Stations Parameters'!$B:$E,4,0),INDEX(_xlpm.colData, _xlpm.rowRegion + _xlpm.rowThroughput))
)</f>
        <v>5000</v>
      </c>
      <c r="J113" s="106">
        <f ca="1">IF($G113&lt;=0,0,E113/(H113*$G113))</f>
        <v>0.53733333333333333</v>
      </c>
      <c r="K113" s="106">
        <f ca="1">IF($G113&lt;=0,0,F113/(I113*$G113))</f>
        <v>2.4209992673199038E-2</v>
      </c>
      <c r="L113" s="130">
        <f>VLOOKUP(B113,'Base Stations Parameters'!$B:$D,3,0)</f>
        <v>95000</v>
      </c>
      <c r="M113">
        <f ca="1">ROUNDUP(MAX(E113/H113-G113,F113/I113-G113,0),0)</f>
        <v>0</v>
      </c>
      <c r="N113" s="130">
        <f ca="1">M113*L113</f>
        <v>0</v>
      </c>
      <c r="Q113" s="69" t="s">
        <v>171</v>
      </c>
      <c r="S113" s="125">
        <v>7.4999999999999997E-2</v>
      </c>
      <c r="T113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)*S113,0)</f>
        <v>14036</v>
      </c>
      <c r="U113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)*S113</f>
        <v>3825.3972108406024</v>
      </c>
      <c r="V113" s="105">
        <f>INDEX('Sites per Region'!$A:$AO, MATCH(Q113,'Sites per Region'!$B:$B,0), MATCH(R$104,'Sites per Region'!$8:$8, 0))</f>
        <v>29</v>
      </c>
      <c r="W113" s="105">
        <f>_xlfn.LET(
_xlpm.data,'Base Stations Profiles'!$B:$T,
_xlpm.colSite,INDEX(_xlpm.data,,1),
_xlpm.colData,INDEX(_xlpm.data,,2),
_xlpm.rowRegion,MATCH(Q113,_xlpm.colSite,0),
_xlpm.rowUser,MATCH("Maximum Simultaneously Active Users per Site",_xlfn.DROP(_xlpm.colSite,_xlpm.rowRegion),0),
INDEX(_xlpm.colData,_xlpm.rowRegion+_xlpm.rowUser))</f>
        <v>750</v>
      </c>
      <c r="X113" s="124">
        <f>_xlfn.LET(
    _xlpm.data, 'Base Stations Profiles'!$B:$U,
    _xlpm.colSite, INDEX(_xlpm.data,,1),
    _xlpm.colauto, INDEX(_xlpm.data,,3),
    _xlpm.colData, INDEX(_xlpm.data,,2),
    _xlpm.rowRegion, MATCH(Q113, _xlpm.colSite, 0),
    _xlpm.rowThroughput, MATCH("Maximum Throughput for Downlink per Site", _xlfn.DROP(_xlpm.colSite, _xlpm.rowRegion), 0),
    IF(INDEX(_xlpm.colauto, _xlpm.rowRegion + _xlpm.rowThroughput)='Model Configurator Sup'!$M$4,VLOOKUP(Q113,'Base Stations Parameters'!$B:$T,4,0),INDEX(_xlpm.colData, _xlpm.rowRegion + _xlpm.rowThroughput))
)</f>
        <v>5000</v>
      </c>
      <c r="Y113" s="106">
        <f ca="1">IF($V113&lt;=0,0,T113/(W113*$V113))</f>
        <v>0.64533333333333331</v>
      </c>
      <c r="Z113" s="106">
        <f ca="1">IF($V113&lt;=0,0,U113/(X113*$V113))</f>
        <v>2.638204972993519E-2</v>
      </c>
      <c r="AA113" s="130">
        <f>VLOOKUP(Q113,'Base Stations Parameters'!$B:$S,3,0)</f>
        <v>95000</v>
      </c>
      <c r="AB113">
        <f ca="1">ROUNDUP(MAX(T113/W113-V113,U113/X113-V113,0),0)</f>
        <v>0</v>
      </c>
      <c r="AC113" s="130">
        <f ca="1">AB113*AA113</f>
        <v>0</v>
      </c>
      <c r="AF113" s="69" t="s">
        <v>171</v>
      </c>
      <c r="AH113" s="125">
        <v>7.4999999999999997E-2</v>
      </c>
      <c r="AI113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)*AH113,0)</f>
        <v>23735</v>
      </c>
      <c r="AJ113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)*AH113</f>
        <v>4989.093021479769</v>
      </c>
      <c r="AK113" s="105">
        <f>INDEX('Sites per Region'!$A:$BD, MATCH(AF113,'Sites per Region'!$B:$B,0), MATCH(AG$104,'Sites per Region'!$8:$8, 0))</f>
        <v>29</v>
      </c>
      <c r="AL113" s="105">
        <f>_xlfn.LET(
_xlpm.data,'Base Stations Profiles'!$B:$AI,
_xlpm.colSite,INDEX(_xlpm.data,,1),
_xlpm.colData,INDEX(_xlpm.data,,2),
_xlpm.rowRegion,MATCH(AF113,_xlpm.colSite,0),
_xlpm.rowUser,MATCH("Maximum Simultaneously Active Users per Site",_xlfn.DROP(_xlpm.colSite,_xlpm.rowRegion),0),
INDEX(_xlpm.colData,_xlpm.rowRegion+_xlpm.rowUser))</f>
        <v>750</v>
      </c>
      <c r="AM113" s="124">
        <f>_xlfn.LET(
    _xlpm.data, 'Base Stations Profiles'!$B:$AJ,
    _xlpm.colSite, INDEX(_xlpm.data,,1),
    _xlpm.colauto, INDEX(_xlpm.data,,3),
    _xlpm.colData, INDEX(_xlpm.data,,2),
    _xlpm.rowRegion, MATCH(AF113, _xlpm.colSite, 0),
    _xlpm.rowThroughput, MATCH("Maximum Throughput for Downlink per Site", _xlfn.DROP(_xlpm.colSite, _xlpm.rowRegion), 0),
    IF(INDEX(_xlpm.colauto, _xlpm.rowRegion + _xlpm.rowThroughput)='Model Configurator Sup'!$M$4,VLOOKUP(AF113,'Base Stations Parameters'!$B:$AI,4,0),INDEX(_xlpm.colData, _xlpm.rowRegion + _xlpm.rowThroughput))
)</f>
        <v>5000</v>
      </c>
      <c r="AN113" s="106">
        <f ca="1">IF($AK113&lt;=0,0,AI113/(AL113*$AK113))</f>
        <v>1.091264367816092</v>
      </c>
      <c r="AO113" s="106">
        <f ca="1">IF($AK113&lt;=0,0,AJ113/(AM113*$AK113))</f>
        <v>3.4407538079170824E-2</v>
      </c>
      <c r="AP113" s="130">
        <f>VLOOKUP(AF113,'Base Stations Parameters'!$B:$AH,3,0)</f>
        <v>95000</v>
      </c>
      <c r="AQ113">
        <f ca="1">ROUNDUP(MAX(AI113/AL113-AK113,AJ113/AM113-AK113,0),0)</f>
        <v>3</v>
      </c>
      <c r="AR113" s="130">
        <f ca="1">AQ113*AP113</f>
        <v>285000</v>
      </c>
    </row>
    <row r="114" spans="2:44" ht="15.75" customHeight="1" thickBot="1" x14ac:dyDescent="0.3">
      <c r="B114" s="69" t="s">
        <v>248</v>
      </c>
      <c r="D114" s="125">
        <v>0.05</v>
      </c>
      <c r="E114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)*D114,0)</f>
        <v>7791</v>
      </c>
      <c r="F114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)*D114</f>
        <v>2340.299291742574</v>
      </c>
      <c r="G114" s="105">
        <f>INDEX('Sites per Region'!$A:$Z, MATCH(B114,'Sites per Region'!$B:$B,0), MATCH(C$104,'Sites per Region'!$8:$8, 0))</f>
        <v>31.5</v>
      </c>
      <c r="H114" s="105">
        <f>_xlfn.LET(
_xlpm.data,'Base Stations Profiles'!$B:$E,
_xlpm.colSite,INDEX(_xlpm.data,,1),
_xlpm.colData,INDEX(_xlpm.data,,2),
_xlpm.rowRegion,MATCH(B114,_xlpm.colSite,0),
_xlpm.rowUser,MATCH("Maximum Simultaneously Active Users per Site",_xlfn.DROP(_xlpm.colSite,_xlpm.rowRegion),0),
INDEX(_xlpm.colData,_xlpm.rowRegion+_xlpm.rowUser))</f>
        <v>1500</v>
      </c>
      <c r="I114" s="124">
        <f>_xlfn.LET(
    _xlpm.data, 'Base Stations Profiles'!$B:$F,
    _xlpm.colSite, INDEX(_xlpm.data,,1),
    _xlpm.colauto, INDEX(_xlpm.data,,3),
    _xlpm.colData, INDEX(_xlpm.data,,2),
    _xlpm.rowRegion, MATCH(B114, _xlpm.colSite, 0),
    _xlpm.rowThroughput, MATCH("Maximum Throughput for Downlink per Site", _xlfn.DROP(_xlpm.colSite, _xlpm.rowRegion), 0),
    IF(INDEX(_xlpm.colauto, _xlpm.rowRegion + _xlpm.rowThroughput)='Model Configurator Sup'!$M$4,VLOOKUP(B114,'Base Stations Parameters'!$B:$E,4,0),INDEX(_xlpm.colData, _xlpm.rowRegion + _xlpm.rowThroughput))
)</f>
        <v>2000</v>
      </c>
      <c r="J114" s="106">
        <f ca="1">IF($G114&lt;=0,0,E114/(H114*$G114))</f>
        <v>0.16488888888888889</v>
      </c>
      <c r="K114" s="106">
        <f ca="1">IF($G114&lt;=0,0,F114/(I114*$G114))</f>
        <v>3.7147607805437681E-2</v>
      </c>
      <c r="L114" s="130">
        <f>VLOOKUP(B114,'Base Stations Parameters'!$B:$D,3,0)</f>
        <v>95000</v>
      </c>
      <c r="M114">
        <f ca="1">ROUNDUP(MAX(E114/H114-G114,F114/I114-G114,0),0)</f>
        <v>0</v>
      </c>
      <c r="N114" s="130">
        <f ca="1">M114*L114</f>
        <v>0</v>
      </c>
      <c r="Q114" s="69" t="s">
        <v>248</v>
      </c>
      <c r="S114" s="125">
        <v>0.05</v>
      </c>
      <c r="T114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)*S114,0)</f>
        <v>9357</v>
      </c>
      <c r="U114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)*S114</f>
        <v>2550.2648072270686</v>
      </c>
      <c r="V114" s="105">
        <f>INDEX('Sites per Region'!$A:$AO, MATCH(Q114,'Sites per Region'!$B:$B,0), MATCH(R$104,'Sites per Region'!$8:$8, 0))</f>
        <v>31.5</v>
      </c>
      <c r="W114" s="105">
        <f>_xlfn.LET(
_xlpm.data,'Base Stations Profiles'!$B:$T,
_xlpm.colSite,INDEX(_xlpm.data,,1),
_xlpm.colData,INDEX(_xlpm.data,,2),
_xlpm.rowRegion,MATCH(Q114,_xlpm.colSite,0),
_xlpm.rowUser,MATCH("Maximum Simultaneously Active Users per Site",_xlfn.DROP(_xlpm.colSite,_xlpm.rowRegion),0),
INDEX(_xlpm.colData,_xlpm.rowRegion+_xlpm.rowUser))</f>
        <v>1500</v>
      </c>
      <c r="X114" s="124">
        <f>_xlfn.LET(
    _xlpm.data, 'Base Stations Profiles'!$B:$U,
    _xlpm.colSite, INDEX(_xlpm.data,,1),
    _xlpm.colauto, INDEX(_xlpm.data,,3),
    _xlpm.colData, INDEX(_xlpm.data,,2),
    _xlpm.rowRegion, MATCH(Q114, _xlpm.colSite, 0),
    _xlpm.rowThroughput, MATCH("Maximum Throughput for Downlink per Site", _xlfn.DROP(_xlpm.colSite, _xlpm.rowRegion), 0),
    IF(INDEX(_xlpm.colauto, _xlpm.rowRegion + _xlpm.rowThroughput)='Model Configurator Sup'!$M$4,VLOOKUP(Q114,'Base Stations Parameters'!$B:$T,4,0),INDEX(_xlpm.colData, _xlpm.rowRegion + _xlpm.rowThroughput))
)</f>
        <v>2000</v>
      </c>
      <c r="Y114" s="106">
        <f ca="1">IF($V114&lt;=0,0,T114/(W114*$V114))</f>
        <v>0.19803174603174603</v>
      </c>
      <c r="Z114" s="106">
        <f ca="1">IF($V114&lt;=0,0,U114/(X114*$V114))</f>
        <v>4.0480393765509028E-2</v>
      </c>
      <c r="AA114" s="130">
        <f>VLOOKUP(Q114,'Base Stations Parameters'!$B:$S,3,0)</f>
        <v>95000</v>
      </c>
      <c r="AB114">
        <f ca="1">ROUNDUP(MAX(T114/W114-V114,U114/X114-V114,0),0)</f>
        <v>0</v>
      </c>
      <c r="AC114" s="130">
        <f ca="1">AB114*AA114</f>
        <v>0</v>
      </c>
      <c r="AF114" s="69" t="s">
        <v>248</v>
      </c>
      <c r="AH114" s="125">
        <v>0.05</v>
      </c>
      <c r="AI114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)*AH114,0)</f>
        <v>15823</v>
      </c>
      <c r="AJ114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)*AH114</f>
        <v>3326.0620143198462</v>
      </c>
      <c r="AK114" s="105">
        <f>INDEX('Sites per Region'!$A:$BD, MATCH(AF114,'Sites per Region'!$B:$B,0), MATCH(AG$104,'Sites per Region'!$8:$8, 0))</f>
        <v>31.5</v>
      </c>
      <c r="AL114" s="105">
        <f>_xlfn.LET(
_xlpm.data,'Base Stations Profiles'!$B:$AI,
_xlpm.colSite,INDEX(_xlpm.data,,1),
_xlpm.colData,INDEX(_xlpm.data,,2),
_xlpm.rowRegion,MATCH(AF114,_xlpm.colSite,0),
_xlpm.rowUser,MATCH("Maximum Simultaneously Active Users per Site",_xlfn.DROP(_xlpm.colSite,_xlpm.rowRegion),0),
INDEX(_xlpm.colData,_xlpm.rowRegion+_xlpm.rowUser))</f>
        <v>1500</v>
      </c>
      <c r="AM114" s="124">
        <f>_xlfn.LET(
    _xlpm.data, 'Base Stations Profiles'!$B:$AJ,
    _xlpm.colSite, INDEX(_xlpm.data,,1),
    _xlpm.colauto, INDEX(_xlpm.data,,3),
    _xlpm.colData, INDEX(_xlpm.data,,2),
    _xlpm.rowRegion, MATCH(AF114, _xlpm.colSite, 0),
    _xlpm.rowThroughput, MATCH("Maximum Throughput for Downlink per Site", _xlfn.DROP(_xlpm.colSite, _xlpm.rowRegion), 0),
    IF(INDEX(_xlpm.colauto, _xlpm.rowRegion + _xlpm.rowThroughput)='Model Configurator Sup'!$M$4,VLOOKUP(AF114,'Base Stations Parameters'!$B:$AI,4,0),INDEX(_xlpm.colData, _xlpm.rowRegion + _xlpm.rowThroughput))
)</f>
        <v>2000</v>
      </c>
      <c r="AN114" s="106">
        <f ca="1">IF($AK114&lt;=0,0,AI114/(AL114*$AK114))</f>
        <v>0.33487830687830689</v>
      </c>
      <c r="AO114" s="106">
        <f ca="1">IF($AK114&lt;=0,0,AJ114/(AM114*$AK114))</f>
        <v>5.2794635147934067E-2</v>
      </c>
      <c r="AP114" s="130">
        <f>VLOOKUP(AF114,'Base Stations Parameters'!$B:$AH,3,0)</f>
        <v>95000</v>
      </c>
      <c r="AQ114">
        <f ca="1">ROUNDUP(MAX(AI114/AL114-AK114,AJ114/AM114-AK114,0),0)</f>
        <v>0</v>
      </c>
      <c r="AR114" s="130">
        <f ca="1">AQ114*AP114</f>
        <v>0</v>
      </c>
    </row>
    <row r="115" spans="2:44" ht="15.75" customHeight="1" thickBot="1" x14ac:dyDescent="0.3">
      <c r="B115" s="69" t="s">
        <v>172</v>
      </c>
      <c r="D115" s="125">
        <v>0.05</v>
      </c>
      <c r="E115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)*D115,0)</f>
        <v>7791</v>
      </c>
      <c r="F115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)*D115</f>
        <v>2340.299291742574</v>
      </c>
      <c r="G115" s="105">
        <f>INDEX('Sites per Region'!$A:$Z, MATCH(B115,'Sites per Region'!$B:$B,0), MATCH(C$104,'Sites per Region'!$8:$8, 0))</f>
        <v>31.5</v>
      </c>
      <c r="H115" s="105">
        <f>_xlfn.LET(
_xlpm.data,'Base Stations Profiles'!$B:$E,
_xlpm.colSite,INDEX(_xlpm.data,,1),
_xlpm.colData,INDEX(_xlpm.data,,2),
_xlpm.rowRegion,MATCH(B115,_xlpm.colSite,0),
_xlpm.rowUser,MATCH("Maximum Simultaneously Active Users per Site",_xlfn.DROP(_xlpm.colSite,_xlpm.rowRegion),0),
INDEX(_xlpm.colData,_xlpm.rowRegion+_xlpm.rowUser))</f>
        <v>1500</v>
      </c>
      <c r="I115" s="124">
        <f>_xlfn.LET(
    _xlpm.data, 'Base Stations Profiles'!$B:$F,
    _xlpm.colSite, INDEX(_xlpm.data,,1),
    _xlpm.colauto, INDEX(_xlpm.data,,3),
    _xlpm.colData, INDEX(_xlpm.data,,2),
    _xlpm.rowRegion, MATCH(B115, _xlpm.colSite, 0),
    _xlpm.rowThroughput, MATCH("Maximum Throughput for Downlink per Site", _xlfn.DROP(_xlpm.colSite, _xlpm.rowRegion), 0),
    IF(INDEX(_xlpm.colauto, _xlpm.rowRegion + _xlpm.rowThroughput)='Model Configurator Sup'!$M$4,VLOOKUP(B115,'Base Stations Parameters'!$B:$E,4,0),INDEX(_xlpm.colData, _xlpm.rowRegion + _xlpm.rowThroughput))
)</f>
        <v>2000</v>
      </c>
      <c r="J115" s="106">
        <f ca="1">IF($G115&lt;=0,0,E115/(H115*$G115))</f>
        <v>0.16488888888888889</v>
      </c>
      <c r="K115" s="106">
        <f ca="1">IF($G115&lt;=0,0,F115/(I115*$G115))</f>
        <v>3.7147607805437681E-2</v>
      </c>
      <c r="L115" s="130">
        <f>VLOOKUP(B115,'Base Stations Parameters'!$B:$D,3,0)</f>
        <v>80000</v>
      </c>
      <c r="M115">
        <f ca="1">ROUNDUP(MAX(E115/H115-G115,F115/I115-G115,0),0)</f>
        <v>0</v>
      </c>
      <c r="N115" s="130">
        <f ca="1">M115*L115</f>
        <v>0</v>
      </c>
      <c r="Q115" s="69" t="s">
        <v>172</v>
      </c>
      <c r="S115" s="125">
        <v>0.05</v>
      </c>
      <c r="T115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)*S115,0)</f>
        <v>9357</v>
      </c>
      <c r="U115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)*S115</f>
        <v>2550.2648072270686</v>
      </c>
      <c r="V115" s="105">
        <f>INDEX('Sites per Region'!$A:$AO, MATCH(Q115,'Sites per Region'!$B:$B,0), MATCH(R$104,'Sites per Region'!$8:$8, 0))</f>
        <v>31.5</v>
      </c>
      <c r="W115" s="105">
        <f>_xlfn.LET(
_xlpm.data,'Base Stations Profiles'!$B:$T,
_xlpm.colSite,INDEX(_xlpm.data,,1),
_xlpm.colData,INDEX(_xlpm.data,,2),
_xlpm.rowRegion,MATCH(Q115,_xlpm.colSite,0),
_xlpm.rowUser,MATCH("Maximum Simultaneously Active Users per Site",_xlfn.DROP(_xlpm.colSite,_xlpm.rowRegion),0),
INDEX(_xlpm.colData,_xlpm.rowRegion+_xlpm.rowUser))</f>
        <v>1500</v>
      </c>
      <c r="X115" s="124">
        <f>_xlfn.LET(
    _xlpm.data, 'Base Stations Profiles'!$B:$U,
    _xlpm.colSite, INDEX(_xlpm.data,,1),
    _xlpm.colauto, INDEX(_xlpm.data,,3),
    _xlpm.colData, INDEX(_xlpm.data,,2),
    _xlpm.rowRegion, MATCH(Q115, _xlpm.colSite, 0),
    _xlpm.rowThroughput, MATCH("Maximum Throughput for Downlink per Site", _xlfn.DROP(_xlpm.colSite, _xlpm.rowRegion), 0),
    IF(INDEX(_xlpm.colauto, _xlpm.rowRegion + _xlpm.rowThroughput)='Model Configurator Sup'!$M$4,VLOOKUP(Q115,'Base Stations Parameters'!$B:$T,4,0),INDEX(_xlpm.colData, _xlpm.rowRegion + _xlpm.rowThroughput))
)</f>
        <v>2000</v>
      </c>
      <c r="Y115" s="106">
        <f ca="1">IF($V115&lt;=0,0,T115/(W115*$V115))</f>
        <v>0.19803174603174603</v>
      </c>
      <c r="Z115" s="106">
        <f ca="1">IF($V115&lt;=0,0,U115/(X115*$V115))</f>
        <v>4.0480393765509028E-2</v>
      </c>
      <c r="AA115" s="130">
        <f>VLOOKUP(Q115,'Base Stations Parameters'!$B:$S,3,0)</f>
        <v>80000</v>
      </c>
      <c r="AB115">
        <f ca="1">ROUNDUP(MAX(T115/W115-V115,U115/X115-V115,0),0)</f>
        <v>0</v>
      </c>
      <c r="AC115" s="130">
        <f ca="1">AB115*AA115</f>
        <v>0</v>
      </c>
      <c r="AF115" s="69" t="s">
        <v>172</v>
      </c>
      <c r="AH115" s="125">
        <v>0.05</v>
      </c>
      <c r="AI115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)*AH115,0)</f>
        <v>15823</v>
      </c>
      <c r="AJ115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)*AH115</f>
        <v>3326.0620143198462</v>
      </c>
      <c r="AK115" s="105">
        <f>INDEX('Sites per Region'!$A:$BD, MATCH(AF115,'Sites per Region'!$B:$B,0), MATCH(AG$104,'Sites per Region'!$8:$8, 0))</f>
        <v>31.5</v>
      </c>
      <c r="AL115" s="105">
        <f>_xlfn.LET(
_xlpm.data,'Base Stations Profiles'!$B:$AI,
_xlpm.colSite,INDEX(_xlpm.data,,1),
_xlpm.colData,INDEX(_xlpm.data,,2),
_xlpm.rowRegion,MATCH(AF115,_xlpm.colSite,0),
_xlpm.rowUser,MATCH("Maximum Simultaneously Active Users per Site",_xlfn.DROP(_xlpm.colSite,_xlpm.rowRegion),0),
INDEX(_xlpm.colData,_xlpm.rowRegion+_xlpm.rowUser))</f>
        <v>1500</v>
      </c>
      <c r="AM115" s="124">
        <f>_xlfn.LET(
    _xlpm.data, 'Base Stations Profiles'!$B:$AJ,
    _xlpm.colSite, INDEX(_xlpm.data,,1),
    _xlpm.colauto, INDEX(_xlpm.data,,3),
    _xlpm.colData, INDEX(_xlpm.data,,2),
    _xlpm.rowRegion, MATCH(AF115, _xlpm.colSite, 0),
    _xlpm.rowThroughput, MATCH("Maximum Throughput for Downlink per Site", _xlfn.DROP(_xlpm.colSite, _xlpm.rowRegion), 0),
    IF(INDEX(_xlpm.colauto, _xlpm.rowRegion + _xlpm.rowThroughput)='Model Configurator Sup'!$M$4,VLOOKUP(AF115,'Base Stations Parameters'!$B:$AI,4,0),INDEX(_xlpm.colData, _xlpm.rowRegion + _xlpm.rowThroughput))
)</f>
        <v>2000</v>
      </c>
      <c r="AN115" s="106">
        <f ca="1">IF($AK115&lt;=0,0,AI115/(AL115*$AK115))</f>
        <v>0.33487830687830689</v>
      </c>
      <c r="AO115" s="106">
        <f ca="1">IF($AK115&lt;=0,0,AJ115/(AM115*$AK115))</f>
        <v>5.2794635147934067E-2</v>
      </c>
      <c r="AP115" s="130">
        <f>VLOOKUP(AF115,'Base Stations Parameters'!$B:$AH,3,0)</f>
        <v>80000</v>
      </c>
      <c r="AQ115">
        <f ca="1">ROUNDUP(MAX(AI115/AL115-AK115,AJ115/AM115-AK115,0),0)</f>
        <v>0</v>
      </c>
      <c r="AR115" s="130">
        <f ca="1">AQ115*AP115</f>
        <v>0</v>
      </c>
    </row>
    <row r="116" spans="2:44" ht="15.75" customHeight="1" thickBot="1" x14ac:dyDescent="0.3">
      <c r="B116" s="69" t="s">
        <v>249</v>
      </c>
      <c r="D116" s="125">
        <v>0.05</v>
      </c>
      <c r="E116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)*D116,0)</f>
        <v>7791</v>
      </c>
      <c r="F116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)*D116</f>
        <v>2340.299291742574</v>
      </c>
      <c r="G116" s="105">
        <f>INDEX('Sites per Region'!$A:$Z, MATCH(B116,'Sites per Region'!$B:$B,0), MATCH(C$104,'Sites per Region'!$8:$8, 0))</f>
        <v>31</v>
      </c>
      <c r="H116" s="105">
        <f>_xlfn.LET(
_xlpm.data,'Base Stations Profiles'!$B:$E,
_xlpm.colSite,INDEX(_xlpm.data,,1),
_xlpm.colData,INDEX(_xlpm.data,,2),
_xlpm.rowRegion,MATCH(B116,_xlpm.colSite,0),
_xlpm.rowUser,MATCH("Maximum Simultaneously Active Users per Site",_xlfn.DROP(_xlpm.colSite,_xlpm.rowRegion),0),
INDEX(_xlpm.colData,_xlpm.rowRegion+_xlpm.rowUser))</f>
        <v>800</v>
      </c>
      <c r="I116" s="124">
        <f>_xlfn.LET(
    _xlpm.data, 'Base Stations Profiles'!$B:$F,
    _xlpm.colSite, INDEX(_xlpm.data,,1),
    _xlpm.colauto, INDEX(_xlpm.data,,3),
    _xlpm.colData, INDEX(_xlpm.data,,2),
    _xlpm.rowRegion, MATCH(B116, _xlpm.colSite, 0),
    _xlpm.rowThroughput, MATCH("Maximum Throughput for Downlink per Site", _xlfn.DROP(_xlpm.colSite, _xlpm.rowRegion), 0),
    IF(INDEX(_xlpm.colauto, _xlpm.rowRegion + _xlpm.rowThroughput)='Model Configurator Sup'!$M$4,VLOOKUP(B116,'Base Stations Parameters'!$B:$E,4,0),INDEX(_xlpm.colData, _xlpm.rowRegion + _xlpm.rowThroughput))
)</f>
        <v>1200</v>
      </c>
      <c r="J116" s="106">
        <f ca="1">IF($G116&lt;=0,0,E116/(H116*$G116))</f>
        <v>0.31415322580645161</v>
      </c>
      <c r="K116" s="106">
        <f ca="1">IF($G116&lt;=0,0,F116/(I116*$G116))</f>
        <v>6.2911271283402528E-2</v>
      </c>
      <c r="L116" s="130">
        <f>VLOOKUP(B116,'Base Stations Parameters'!$B:$D,3,0)</f>
        <v>80000</v>
      </c>
      <c r="M116">
        <f ca="1">ROUNDUP(MAX(E116/H116-G116,F116/I116-G116,0),0)</f>
        <v>0</v>
      </c>
      <c r="N116" s="130">
        <f ca="1">M116*L116</f>
        <v>0</v>
      </c>
      <c r="Q116" s="69" t="s">
        <v>249</v>
      </c>
      <c r="S116" s="125">
        <v>0.05</v>
      </c>
      <c r="T116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)*S116,0)</f>
        <v>9357</v>
      </c>
      <c r="U116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)*S116</f>
        <v>2550.2648072270686</v>
      </c>
      <c r="V116" s="105">
        <f>INDEX('Sites per Region'!$A:$AO, MATCH(Q116,'Sites per Region'!$B:$B,0), MATCH(R$104,'Sites per Region'!$8:$8, 0))</f>
        <v>31</v>
      </c>
      <c r="W116" s="105">
        <f>_xlfn.LET(
_xlpm.data,'Base Stations Profiles'!$B:$T,
_xlpm.colSite,INDEX(_xlpm.data,,1),
_xlpm.colData,INDEX(_xlpm.data,,2),
_xlpm.rowRegion,MATCH(Q116,_xlpm.colSite,0),
_xlpm.rowUser,MATCH("Maximum Simultaneously Active Users per Site",_xlfn.DROP(_xlpm.colSite,_xlpm.rowRegion),0),
INDEX(_xlpm.colData,_xlpm.rowRegion+_xlpm.rowUser))</f>
        <v>800</v>
      </c>
      <c r="X116" s="124">
        <f>_xlfn.LET(
    _xlpm.data, 'Base Stations Profiles'!$B:$U,
    _xlpm.colSite, INDEX(_xlpm.data,,1),
    _xlpm.colauto, INDEX(_xlpm.data,,3),
    _xlpm.colData, INDEX(_xlpm.data,,2),
    _xlpm.rowRegion, MATCH(Q116, _xlpm.colSite, 0),
    _xlpm.rowThroughput, MATCH("Maximum Throughput for Downlink per Site", _xlfn.DROP(_xlpm.colSite, _xlpm.rowRegion), 0),
    IF(INDEX(_xlpm.colauto, _xlpm.rowRegion + _xlpm.rowThroughput)='Model Configurator Sup'!$M$4,VLOOKUP(Q116,'Base Stations Parameters'!$B:$T,4,0),INDEX(_xlpm.colData, _xlpm.rowRegion + _xlpm.rowThroughput))
)</f>
        <v>1200</v>
      </c>
      <c r="Y116" s="106">
        <f ca="1">IF($V116&lt;=0,0,T116/(W116*$V116))</f>
        <v>0.37729838709677421</v>
      </c>
      <c r="Z116" s="106">
        <f ca="1">IF($V116&lt;=0,0,U116/(X116*$V116))</f>
        <v>6.8555505570620123E-2</v>
      </c>
      <c r="AA116" s="130">
        <f>VLOOKUP(Q116,'Base Stations Parameters'!$B:$S,3,0)</f>
        <v>80000</v>
      </c>
      <c r="AB116">
        <f ca="1">ROUNDUP(MAX(T116/W116-V116,U116/X116-V116,0),0)</f>
        <v>0</v>
      </c>
      <c r="AC116" s="130">
        <f ca="1">AB116*AA116</f>
        <v>0</v>
      </c>
      <c r="AF116" s="69" t="s">
        <v>249</v>
      </c>
      <c r="AH116" s="125">
        <v>0.05</v>
      </c>
      <c r="AI116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)*AH116,0)</f>
        <v>15823</v>
      </c>
      <c r="AJ116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)*AH116</f>
        <v>3326.0620143198462</v>
      </c>
      <c r="AK116" s="105">
        <f>INDEX('Sites per Region'!$A:$BD, MATCH(AF116,'Sites per Region'!$B:$B,0), MATCH(AG$104,'Sites per Region'!$8:$8, 0))</f>
        <v>31</v>
      </c>
      <c r="AL116" s="105">
        <f>_xlfn.LET(
_xlpm.data,'Base Stations Profiles'!$B:$AI,
_xlpm.colSite,INDEX(_xlpm.data,,1),
_xlpm.colData,INDEX(_xlpm.data,,2),
_xlpm.rowRegion,MATCH(AF116,_xlpm.colSite,0),
_xlpm.rowUser,MATCH("Maximum Simultaneously Active Users per Site",_xlfn.DROP(_xlpm.colSite,_xlpm.rowRegion),0),
INDEX(_xlpm.colData,_xlpm.rowRegion+_xlpm.rowUser))</f>
        <v>800</v>
      </c>
      <c r="AM116" s="124">
        <f>_xlfn.LET(
    _xlpm.data, 'Base Stations Profiles'!$B:$AJ,
    _xlpm.colSite, INDEX(_xlpm.data,,1),
    _xlpm.colauto, INDEX(_xlpm.data,,3),
    _xlpm.colData, INDEX(_xlpm.data,,2),
    _xlpm.rowRegion, MATCH(AF116, _xlpm.colSite, 0),
    _xlpm.rowThroughput, MATCH("Maximum Throughput for Downlink per Site", _xlfn.DROP(_xlpm.colSite, _xlpm.rowRegion), 0),
    IF(INDEX(_xlpm.colauto, _xlpm.rowRegion + _xlpm.rowThroughput)='Model Configurator Sup'!$M$4,VLOOKUP(AF116,'Base Stations Parameters'!$B:$AI,4,0),INDEX(_xlpm.colData, _xlpm.rowRegion + _xlpm.rowThroughput))
)</f>
        <v>1200</v>
      </c>
      <c r="AN116" s="106">
        <f ca="1">IF($AK116&lt;=0,0,AI116/(AL116*$AK116))</f>
        <v>0.63802419354838713</v>
      </c>
      <c r="AO116" s="106">
        <f ca="1">IF($AK116&lt;=0,0,AJ116/(AM116*$AK116))</f>
        <v>8.9410269202146397E-2</v>
      </c>
      <c r="AP116" s="130">
        <f>VLOOKUP(AF116,'Base Stations Parameters'!$B:$AH,3,0)</f>
        <v>80000</v>
      </c>
      <c r="AQ116">
        <f ca="1">ROUNDUP(MAX(AI116/AL116-AK116,AJ116/AM116-AK116,0),0)</f>
        <v>0</v>
      </c>
      <c r="AR116" s="130">
        <f ca="1">AQ116*AP116</f>
        <v>0</v>
      </c>
    </row>
    <row r="117" spans="2:44" ht="15.75" customHeight="1" thickBot="1" x14ac:dyDescent="0.3">
      <c r="B117" s="69" t="s">
        <v>173</v>
      </c>
      <c r="D117" s="125">
        <v>0.05</v>
      </c>
      <c r="E117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)*D117,0)</f>
        <v>7791</v>
      </c>
      <c r="F117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)*D117</f>
        <v>2340.299291742574</v>
      </c>
      <c r="G117" s="105">
        <f>INDEX('Sites per Region'!$A:$Z, MATCH(B117,'Sites per Region'!$B:$B,0), MATCH(C$104,'Sites per Region'!$8:$8, 0))</f>
        <v>31</v>
      </c>
      <c r="H117" s="105">
        <f>_xlfn.LET(
_xlpm.data,'Base Stations Profiles'!$B:$E,
_xlpm.colSite,INDEX(_xlpm.data,,1),
_xlpm.colData,INDEX(_xlpm.data,,2),
_xlpm.rowRegion,MATCH(B117,_xlpm.colSite,0),
_xlpm.rowUser,MATCH("Maximum Simultaneously Active Users per Site",_xlfn.DROP(_xlpm.colSite,_xlpm.rowRegion),0),
INDEX(_xlpm.colData,_xlpm.rowRegion+_xlpm.rowUser))</f>
        <v>800</v>
      </c>
      <c r="I117" s="124">
        <f>_xlfn.LET(
    _xlpm.data, 'Base Stations Profiles'!$B:$F,
    _xlpm.colSite, INDEX(_xlpm.data,,1),
    _xlpm.colauto, INDEX(_xlpm.data,,3),
    _xlpm.colData, INDEX(_xlpm.data,,2),
    _xlpm.rowRegion, MATCH(B117, _xlpm.colSite, 0),
    _xlpm.rowThroughput, MATCH("Maximum Throughput for Downlink per Site", _xlfn.DROP(_xlpm.colSite, _xlpm.rowRegion), 0),
    IF(INDEX(_xlpm.colauto, _xlpm.rowRegion + _xlpm.rowThroughput)='Model Configurator Sup'!$M$4,VLOOKUP(B117,'Base Stations Parameters'!$B:$E,4,0),INDEX(_xlpm.colData, _xlpm.rowRegion + _xlpm.rowThroughput))
)</f>
        <v>1200</v>
      </c>
      <c r="J117" s="106">
        <f ca="1">IF($G117&lt;=0,0,E117/(H117*$G117))</f>
        <v>0.31415322580645161</v>
      </c>
      <c r="K117" s="106">
        <f ca="1">IF($G117&lt;=0,0,F117/(I117*$G117))</f>
        <v>6.2911271283402528E-2</v>
      </c>
      <c r="L117" s="130">
        <f>VLOOKUP(B117,'Base Stations Parameters'!$B:$D,3,0)</f>
        <v>60000</v>
      </c>
      <c r="M117">
        <f ca="1">ROUNDUP(MAX(E117/H117-G117,F117/I117-G117,0),0)</f>
        <v>0</v>
      </c>
      <c r="N117" s="130">
        <f ca="1">M117*L117</f>
        <v>0</v>
      </c>
      <c r="Q117" s="69" t="s">
        <v>173</v>
      </c>
      <c r="S117" s="125">
        <v>0.05</v>
      </c>
      <c r="T117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)*S117,0)</f>
        <v>9357</v>
      </c>
      <c r="U117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)*S117</f>
        <v>2550.2648072270686</v>
      </c>
      <c r="V117" s="105">
        <f>INDEX('Sites per Region'!$A:$AO, MATCH(Q117,'Sites per Region'!$B:$B,0), MATCH(R$104,'Sites per Region'!$8:$8, 0))</f>
        <v>31</v>
      </c>
      <c r="W117" s="105">
        <f>_xlfn.LET(
_xlpm.data,'Base Stations Profiles'!$B:$T,
_xlpm.colSite,INDEX(_xlpm.data,,1),
_xlpm.colData,INDEX(_xlpm.data,,2),
_xlpm.rowRegion,MATCH(Q117,_xlpm.colSite,0),
_xlpm.rowUser,MATCH("Maximum Simultaneously Active Users per Site",_xlfn.DROP(_xlpm.colSite,_xlpm.rowRegion),0),
INDEX(_xlpm.colData,_xlpm.rowRegion+_xlpm.rowUser))</f>
        <v>800</v>
      </c>
      <c r="X117" s="124">
        <f>_xlfn.LET(
    _xlpm.data, 'Base Stations Profiles'!$B:$U,
    _xlpm.colSite, INDEX(_xlpm.data,,1),
    _xlpm.colauto, INDEX(_xlpm.data,,3),
    _xlpm.colData, INDEX(_xlpm.data,,2),
    _xlpm.rowRegion, MATCH(Q117, _xlpm.colSite, 0),
    _xlpm.rowThroughput, MATCH("Maximum Throughput for Downlink per Site", _xlfn.DROP(_xlpm.colSite, _xlpm.rowRegion), 0),
    IF(INDEX(_xlpm.colauto, _xlpm.rowRegion + _xlpm.rowThroughput)='Model Configurator Sup'!$M$4,VLOOKUP(Q117,'Base Stations Parameters'!$B:$T,4,0),INDEX(_xlpm.colData, _xlpm.rowRegion + _xlpm.rowThroughput))
)</f>
        <v>1200</v>
      </c>
      <c r="Y117" s="106">
        <f ca="1">IF($V117&lt;=0,0,T117/(W117*$V117))</f>
        <v>0.37729838709677421</v>
      </c>
      <c r="Z117" s="106">
        <f ca="1">IF($V117&lt;=0,0,U117/(X117*$V117))</f>
        <v>6.8555505570620123E-2</v>
      </c>
      <c r="AA117" s="130">
        <f>VLOOKUP(Q117,'Base Stations Parameters'!$B:$S,3,0)</f>
        <v>60000</v>
      </c>
      <c r="AB117">
        <f ca="1">ROUNDUP(MAX(T117/W117-V117,U117/X117-V117,0),0)</f>
        <v>0</v>
      </c>
      <c r="AC117" s="130">
        <f ca="1">AB117*AA117</f>
        <v>0</v>
      </c>
      <c r="AF117" s="69" t="s">
        <v>173</v>
      </c>
      <c r="AH117" s="125">
        <v>0.05</v>
      </c>
      <c r="AI117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)*AH117,0)</f>
        <v>15823</v>
      </c>
      <c r="AJ117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)*AH117</f>
        <v>3326.0620143198462</v>
      </c>
      <c r="AK117" s="105">
        <f>INDEX('Sites per Region'!$A:$BD, MATCH(AF117,'Sites per Region'!$B:$B,0), MATCH(AG$104,'Sites per Region'!$8:$8, 0))</f>
        <v>31</v>
      </c>
      <c r="AL117" s="105">
        <f>_xlfn.LET(
_xlpm.data,'Base Stations Profiles'!$B:$AI,
_xlpm.colSite,INDEX(_xlpm.data,,1),
_xlpm.colData,INDEX(_xlpm.data,,2),
_xlpm.rowRegion,MATCH(AF117,_xlpm.colSite,0),
_xlpm.rowUser,MATCH("Maximum Simultaneously Active Users per Site",_xlfn.DROP(_xlpm.colSite,_xlpm.rowRegion),0),
INDEX(_xlpm.colData,_xlpm.rowRegion+_xlpm.rowUser))</f>
        <v>800</v>
      </c>
      <c r="AM117" s="124">
        <f>_xlfn.LET(
    _xlpm.data, 'Base Stations Profiles'!$B:$AJ,
    _xlpm.colSite, INDEX(_xlpm.data,,1),
    _xlpm.colauto, INDEX(_xlpm.data,,3),
    _xlpm.colData, INDEX(_xlpm.data,,2),
    _xlpm.rowRegion, MATCH(AF117, _xlpm.colSite, 0),
    _xlpm.rowThroughput, MATCH("Maximum Throughput for Downlink per Site", _xlfn.DROP(_xlpm.colSite, _xlpm.rowRegion), 0),
    IF(INDEX(_xlpm.colauto, _xlpm.rowRegion + _xlpm.rowThroughput)='Model Configurator Sup'!$M$4,VLOOKUP(AF117,'Base Stations Parameters'!$B:$AI,4,0),INDEX(_xlpm.colData, _xlpm.rowRegion + _xlpm.rowThroughput))
)</f>
        <v>1200</v>
      </c>
      <c r="AN117" s="106">
        <f ca="1">IF($AK117&lt;=0,0,AI117/(AL117*$AK117))</f>
        <v>0.63802419354838713</v>
      </c>
      <c r="AO117" s="106">
        <f ca="1">IF($AK117&lt;=0,0,AJ117/(AM117*$AK117))</f>
        <v>8.9410269202146397E-2</v>
      </c>
      <c r="AP117" s="130">
        <f>VLOOKUP(AF117,'Base Stations Parameters'!$B:$AH,3,0)</f>
        <v>60000</v>
      </c>
      <c r="AQ117">
        <f ca="1">ROUNDUP(MAX(AI117/AL117-AK117,AJ117/AM117-AK117,0),0)</f>
        <v>0</v>
      </c>
      <c r="AR117" s="130">
        <f ca="1">AQ117*AP117</f>
        <v>0</v>
      </c>
    </row>
    <row r="118" spans="2:44" ht="15.75" customHeight="1" thickBot="1" x14ac:dyDescent="0.3">
      <c r="B118" s="69" t="s">
        <v>250</v>
      </c>
      <c r="D118" s="125">
        <v>2.5000000000000001E-2</v>
      </c>
      <c r="E118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)*D118,0)</f>
        <v>3895</v>
      </c>
      <c r="F118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)*D118</f>
        <v>1170.149645871287</v>
      </c>
      <c r="G118" s="105">
        <f>INDEX('Sites per Region'!$A:$Z, MATCH(B118,'Sites per Region'!$B:$B,0), MATCH(C$104,'Sites per Region'!$8:$8, 0))</f>
        <v>20</v>
      </c>
      <c r="H118" s="105">
        <f>_xlfn.LET(
_xlpm.data,'Base Stations Profiles'!$B:$E,
_xlpm.colSite,INDEX(_xlpm.data,,1),
_xlpm.colData,INDEX(_xlpm.data,,2),
_xlpm.rowRegion,MATCH(B118,_xlpm.colSite,0),
_xlpm.rowUser,MATCH("Maximum Simultaneously Active Users per Site",_xlfn.DROP(_xlpm.colSite,_xlpm.rowRegion),0),
INDEX(_xlpm.colData,_xlpm.rowRegion+_xlpm.rowUser))</f>
        <v>400</v>
      </c>
      <c r="I118" s="124">
        <f>_xlfn.LET(
    _xlpm.data, 'Base Stations Profiles'!$B:$F,
    _xlpm.colSite, INDEX(_xlpm.data,,1),
    _xlpm.colauto, INDEX(_xlpm.data,,3),
    _xlpm.colData, INDEX(_xlpm.data,,2),
    _xlpm.rowRegion, MATCH(B118, _xlpm.colSite, 0),
    _xlpm.rowThroughput, MATCH("Maximum Throughput for Downlink per Site", _xlfn.DROP(_xlpm.colSite, _xlpm.rowRegion), 0),
    IF(INDEX(_xlpm.colauto, _xlpm.rowRegion + _xlpm.rowThroughput)='Model Configurator Sup'!$M$4,VLOOKUP(B118,'Base Stations Parameters'!$B:$E,4,0),INDEX(_xlpm.colData, _xlpm.rowRegion + _xlpm.rowThroughput))
)</f>
        <v>300</v>
      </c>
      <c r="J118" s="106">
        <f ca="1">IF($G118&lt;=0,0,E118/(H118*$G118))</f>
        <v>0.486875</v>
      </c>
      <c r="K118" s="106">
        <f ca="1">IF($G118&lt;=0,0,F118/(I118*$G118))</f>
        <v>0.19502494097854783</v>
      </c>
      <c r="L118" s="130">
        <f>VLOOKUP(B118,'Base Stations Parameters'!$B:$D,3,0)</f>
        <v>60000</v>
      </c>
      <c r="M118">
        <f ca="1">ROUNDUP(MAX(E118/H118-G118,F118/I118-G118,0),0)</f>
        <v>0</v>
      </c>
      <c r="N118" s="130">
        <f ca="1">M118*L118</f>
        <v>0</v>
      </c>
      <c r="Q118" s="69" t="s">
        <v>250</v>
      </c>
      <c r="S118" s="125">
        <v>2.5000000000000001E-2</v>
      </c>
      <c r="T118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)*S118,0)</f>
        <v>4678</v>
      </c>
      <c r="U118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)*S118</f>
        <v>1275.1324036135343</v>
      </c>
      <c r="V118" s="105">
        <f>INDEX('Sites per Region'!$A:$AO, MATCH(Q118,'Sites per Region'!$B:$B,0), MATCH(R$104,'Sites per Region'!$8:$8, 0))</f>
        <v>20</v>
      </c>
      <c r="W118" s="105">
        <f>_xlfn.LET(
_xlpm.data,'Base Stations Profiles'!$B:$T,
_xlpm.colSite,INDEX(_xlpm.data,,1),
_xlpm.colData,INDEX(_xlpm.data,,2),
_xlpm.rowRegion,MATCH(Q118,_xlpm.colSite,0),
_xlpm.rowUser,MATCH("Maximum Simultaneously Active Users per Site",_xlfn.DROP(_xlpm.colSite,_xlpm.rowRegion),0),
INDEX(_xlpm.colData,_xlpm.rowRegion+_xlpm.rowUser))</f>
        <v>400</v>
      </c>
      <c r="X118" s="124">
        <f>_xlfn.LET(
    _xlpm.data, 'Base Stations Profiles'!$B:$U,
    _xlpm.colSite, INDEX(_xlpm.data,,1),
    _xlpm.colauto, INDEX(_xlpm.data,,3),
    _xlpm.colData, INDEX(_xlpm.data,,2),
    _xlpm.rowRegion, MATCH(Q118, _xlpm.colSite, 0),
    _xlpm.rowThroughput, MATCH("Maximum Throughput for Downlink per Site", _xlfn.DROP(_xlpm.colSite, _xlpm.rowRegion), 0),
    IF(INDEX(_xlpm.colauto, _xlpm.rowRegion + _xlpm.rowThroughput)='Model Configurator Sup'!$M$4,VLOOKUP(Q118,'Base Stations Parameters'!$B:$T,4,0),INDEX(_xlpm.colData, _xlpm.rowRegion + _xlpm.rowThroughput))
)</f>
        <v>300</v>
      </c>
      <c r="Y118" s="106">
        <f ca="1">IF($V118&lt;=0,0,T118/(W118*$V118))</f>
        <v>0.58474999999999999</v>
      </c>
      <c r="Z118" s="106">
        <f ca="1">IF($V118&lt;=0,0,U118/(X118*$V118))</f>
        <v>0.21252206726892239</v>
      </c>
      <c r="AA118" s="130">
        <f>VLOOKUP(Q118,'Base Stations Parameters'!$B:$S,3,0)</f>
        <v>60000</v>
      </c>
      <c r="AB118">
        <f ca="1">ROUNDUP(MAX(T118/W118-V118,U118/X118-V118,0),0)</f>
        <v>0</v>
      </c>
      <c r="AC118" s="130">
        <f ca="1">AB118*AA118</f>
        <v>0</v>
      </c>
      <c r="AF118" s="69" t="s">
        <v>250</v>
      </c>
      <c r="AH118" s="125">
        <v>2.5000000000000001E-2</v>
      </c>
      <c r="AI118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)*AH118,0)</f>
        <v>7911</v>
      </c>
      <c r="AJ118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)*AH118</f>
        <v>1663.0310071599231</v>
      </c>
      <c r="AK118" s="105">
        <f>INDEX('Sites per Region'!$A:$BD, MATCH(AF118,'Sites per Region'!$B:$B,0), MATCH(AG$104,'Sites per Region'!$8:$8, 0))</f>
        <v>20</v>
      </c>
      <c r="AL118" s="105">
        <f>_xlfn.LET(
_xlpm.data,'Base Stations Profiles'!$B:$AI,
_xlpm.colSite,INDEX(_xlpm.data,,1),
_xlpm.colData,INDEX(_xlpm.data,,2),
_xlpm.rowRegion,MATCH(AF118,_xlpm.colSite,0),
_xlpm.rowUser,MATCH("Maximum Simultaneously Active Users per Site",_xlfn.DROP(_xlpm.colSite,_xlpm.rowRegion),0),
INDEX(_xlpm.colData,_xlpm.rowRegion+_xlpm.rowUser))</f>
        <v>400</v>
      </c>
      <c r="AM118" s="124">
        <f>_xlfn.LET(
    _xlpm.data, 'Base Stations Profiles'!$B:$AJ,
    _xlpm.colSite, INDEX(_xlpm.data,,1),
    _xlpm.colauto, INDEX(_xlpm.data,,3),
    _xlpm.colData, INDEX(_xlpm.data,,2),
    _xlpm.rowRegion, MATCH(AF118, _xlpm.colSite, 0),
    _xlpm.rowThroughput, MATCH("Maximum Throughput for Downlink per Site", _xlfn.DROP(_xlpm.colSite, _xlpm.rowRegion), 0),
    IF(INDEX(_xlpm.colauto, _xlpm.rowRegion + _xlpm.rowThroughput)='Model Configurator Sup'!$M$4,VLOOKUP(AF118,'Base Stations Parameters'!$B:$AI,4,0),INDEX(_xlpm.colData, _xlpm.rowRegion + _xlpm.rowThroughput))
)</f>
        <v>300</v>
      </c>
      <c r="AN118" s="106">
        <f ca="1">IF($AK118&lt;=0,0,AI118/(AL118*$AK118))</f>
        <v>0.98887499999999995</v>
      </c>
      <c r="AO118" s="106">
        <f ca="1">IF($AK118&lt;=0,0,AJ118/(AM118*$AK118))</f>
        <v>0.27717183452665384</v>
      </c>
      <c r="AP118" s="130">
        <f>VLOOKUP(AF118,'Base Stations Parameters'!$B:$AH,3,0)</f>
        <v>60000</v>
      </c>
      <c r="AQ118">
        <f ca="1">ROUNDUP(MAX(AI118/AL118-AK118,AJ118/AM118-AK118,0),0)</f>
        <v>0</v>
      </c>
      <c r="AR118" s="130">
        <f ca="1">AQ118*AP118</f>
        <v>0</v>
      </c>
    </row>
    <row r="119" spans="2:44" ht="15.75" customHeight="1" thickBot="1" x14ac:dyDescent="0.3">
      <c r="B119" s="69" t="s">
        <v>174</v>
      </c>
      <c r="D119" s="125">
        <v>2.5000000000000001E-2</v>
      </c>
      <c r="E119" s="123">
        <f ca="1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)*D119,0)</f>
        <v>3895</v>
      </c>
      <c r="F119" s="122">
        <f ca="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)*D119</f>
        <v>1170.149645871287</v>
      </c>
      <c r="G119" s="105">
        <f>INDEX('Sites per Region'!$A:$Z, MATCH(B119,'Sites per Region'!$B:$B,0), MATCH(C$104,'Sites per Region'!$8:$8, 0))</f>
        <v>20</v>
      </c>
      <c r="H119" s="105">
        <f>_xlfn.LET(
_xlpm.data,'Base Stations Profiles'!$B:$E,
_xlpm.colSite,INDEX(_xlpm.data,,1),
_xlpm.colData,INDEX(_xlpm.data,,2),
_xlpm.rowRegion,MATCH(B119,_xlpm.colSite,0),
_xlpm.rowUser,MATCH("Maximum Simultaneously Active Users per Site",_xlfn.DROP(_xlpm.colSite,_xlpm.rowRegion),0),
INDEX(_xlpm.colData,_xlpm.rowRegion+_xlpm.rowUser))</f>
        <v>400</v>
      </c>
      <c r="I119" s="124">
        <f>_xlfn.LET(
    _xlpm.data, 'Base Stations Profiles'!$B:$F,
    _xlpm.colSite, INDEX(_xlpm.data,,1),
    _xlpm.colauto, INDEX(_xlpm.data,,3),
    _xlpm.colData, INDEX(_xlpm.data,,2),
    _xlpm.rowRegion, MATCH(B119, _xlpm.colSite, 0),
    _xlpm.rowThroughput, MATCH("Maximum Throughput for Downlink per Site", _xlfn.DROP(_xlpm.colSite, _xlpm.rowRegion), 0),
    IF(INDEX(_xlpm.colauto, _xlpm.rowRegion + _xlpm.rowThroughput)='Model Configurator Sup'!$M$4,VLOOKUP(B119,'Base Stations Parameters'!$B:$E,4,0),INDEX(_xlpm.colData, _xlpm.rowRegion + _xlpm.rowThroughput))
)</f>
        <v>300</v>
      </c>
      <c r="J119" s="106">
        <f ca="1">IF($G119&lt;=0,0,E119/(H119*$G119))</f>
        <v>0.486875</v>
      </c>
      <c r="K119" s="106">
        <f ca="1">IF($G119&lt;=0,0,F119/(I119*$G119))</f>
        <v>0.19502494097854783</v>
      </c>
      <c r="L119" s="130">
        <f>VLOOKUP(B119,'Base Stations Parameters'!$B:$D,3,0)</f>
        <v>0</v>
      </c>
      <c r="M119">
        <f ca="1">ROUNDUP(MAX(E119/H119-G119,F119/I119-G119,0),0)</f>
        <v>0</v>
      </c>
      <c r="N119" s="130">
        <f ca="1">M119*L119</f>
        <v>0</v>
      </c>
      <c r="Q119" s="69" t="s">
        <v>174</v>
      </c>
      <c r="S119" s="125">
        <v>2.5000000000000001E-2</v>
      </c>
      <c r="T119" s="123">
        <f ca="1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)*S119,0)</f>
        <v>4678</v>
      </c>
      <c r="U119" s="122">
        <f ca="1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)*S119</f>
        <v>1275.1324036135343</v>
      </c>
      <c r="V119" s="105">
        <f>INDEX('Sites per Region'!$A:$AO, MATCH(Q119,'Sites per Region'!$B:$B,0), MATCH(R$104,'Sites per Region'!$8:$8, 0))</f>
        <v>20</v>
      </c>
      <c r="W119" s="105">
        <f>_xlfn.LET(
_xlpm.data,'Base Stations Profiles'!$B:$T,
_xlpm.colSite,INDEX(_xlpm.data,,1),
_xlpm.colData,INDEX(_xlpm.data,,2),
_xlpm.rowRegion,MATCH(Q119,_xlpm.colSite,0),
_xlpm.rowUser,MATCH("Maximum Simultaneously Active Users per Site",_xlfn.DROP(_xlpm.colSite,_xlpm.rowRegion),0),
INDEX(_xlpm.colData,_xlpm.rowRegion+_xlpm.rowUser))</f>
        <v>400</v>
      </c>
      <c r="X119" s="124">
        <f>_xlfn.LET(
    _xlpm.data, 'Base Stations Profiles'!$B:$U,
    _xlpm.colSite, INDEX(_xlpm.data,,1),
    _xlpm.colauto, INDEX(_xlpm.data,,3),
    _xlpm.colData, INDEX(_xlpm.data,,2),
    _xlpm.rowRegion, MATCH(Q119, _xlpm.colSite, 0),
    _xlpm.rowThroughput, MATCH("Maximum Throughput for Downlink per Site", _xlfn.DROP(_xlpm.colSite, _xlpm.rowRegion), 0),
    IF(INDEX(_xlpm.colauto, _xlpm.rowRegion + _xlpm.rowThroughput)='Model Configurator Sup'!$M$4,VLOOKUP(Q119,'Base Stations Parameters'!$B:$T,4,0),INDEX(_xlpm.colData, _xlpm.rowRegion + _xlpm.rowThroughput))
)</f>
        <v>300</v>
      </c>
      <c r="Y119" s="106">
        <f ca="1">IF($V119&lt;=0,0,T119/(W119*$V119))</f>
        <v>0.58474999999999999</v>
      </c>
      <c r="Z119" s="106">
        <f ca="1">IF($V119&lt;=0,0,U119/(X119*$V119))</f>
        <v>0.21252206726892239</v>
      </c>
      <c r="AA119" s="130">
        <f>VLOOKUP(Q119,'Base Stations Parameters'!$B:$S,3,0)</f>
        <v>0</v>
      </c>
      <c r="AB119">
        <f ca="1">ROUNDUP(MAX(T119/W119-V119,U119/X119-V119,0),0)</f>
        <v>0</v>
      </c>
      <c r="AC119" s="130">
        <f ca="1">AB119*AA119</f>
        <v>0</v>
      </c>
      <c r="AF119" s="69" t="s">
        <v>174</v>
      </c>
      <c r="AH119" s="125">
        <v>2.5000000000000001E-2</v>
      </c>
      <c r="AI119" s="123">
        <f ca="1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)*AH119,0)</f>
        <v>7911</v>
      </c>
      <c r="AJ119" s="122">
        <f ca="1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)*AH119</f>
        <v>1663.0310071599231</v>
      </c>
      <c r="AK119" s="105">
        <f>INDEX('Sites per Region'!$A:$BD, MATCH(AF119,'Sites per Region'!$B:$B,0), MATCH(AG$104,'Sites per Region'!$8:$8, 0))</f>
        <v>20</v>
      </c>
      <c r="AL119" s="105">
        <f>_xlfn.LET(
_xlpm.data,'Base Stations Profiles'!$B:$AI,
_xlpm.colSite,INDEX(_xlpm.data,,1),
_xlpm.colData,INDEX(_xlpm.data,,2),
_xlpm.rowRegion,MATCH(AF119,_xlpm.colSite,0),
_xlpm.rowUser,MATCH("Maximum Simultaneously Active Users per Site",_xlfn.DROP(_xlpm.colSite,_xlpm.rowRegion),0),
INDEX(_xlpm.colData,_xlpm.rowRegion+_xlpm.rowUser))</f>
        <v>400</v>
      </c>
      <c r="AM119" s="124">
        <f>_xlfn.LET(
    _xlpm.data, 'Base Stations Profiles'!$B:$AJ,
    _xlpm.colSite, INDEX(_xlpm.data,,1),
    _xlpm.colauto, INDEX(_xlpm.data,,3),
    _xlpm.colData, INDEX(_xlpm.data,,2),
    _xlpm.rowRegion, MATCH(AF119, _xlpm.colSite, 0),
    _xlpm.rowThroughput, MATCH("Maximum Throughput for Downlink per Site", _xlfn.DROP(_xlpm.colSite, _xlpm.rowRegion), 0),
    IF(INDEX(_xlpm.colauto, _xlpm.rowRegion + _xlpm.rowThroughput)='Model Configurator Sup'!$M$4,VLOOKUP(AF119,'Base Stations Parameters'!$B:$AI,4,0),INDEX(_xlpm.colData, _xlpm.rowRegion + _xlpm.rowThroughput))
)</f>
        <v>300</v>
      </c>
      <c r="AN119" s="106">
        <f ca="1">IF($AK119&lt;=0,0,AI119/(AL119*$AK119))</f>
        <v>0.98887499999999995</v>
      </c>
      <c r="AO119" s="106">
        <f ca="1">IF($AK119&lt;=0,0,AJ119/(AM119*$AK119))</f>
        <v>0.27717183452665384</v>
      </c>
      <c r="AP119" s="130">
        <f>VLOOKUP(AF119,'Base Stations Parameters'!$B:$AH,3,0)</f>
        <v>0</v>
      </c>
      <c r="AQ119">
        <f ca="1">ROUNDUP(MAX(AI119/AL119-AK119,AJ119/AM119-AK119,0),0)</f>
        <v>0</v>
      </c>
      <c r="AR119" s="130">
        <f ca="1">AQ119*AP119</f>
        <v>0</v>
      </c>
    </row>
    <row r="120" spans="2:44" ht="15" customHeight="1" x14ac:dyDescent="0.25">
      <c r="B120" s="116" t="s">
        <v>182</v>
      </c>
      <c r="D120" s="126">
        <f>SUM(D108:D119)</f>
        <v>1</v>
      </c>
      <c r="E120" s="127">
        <f ca="1">SUM(E108:E119)</f>
        <v>155824</v>
      </c>
      <c r="F120" s="128">
        <f ca="1">SUM(F108:F119)</f>
        <v>46805.985834851468</v>
      </c>
      <c r="H120" s="113"/>
      <c r="I120" s="115"/>
      <c r="L120" s="115"/>
      <c r="M120" s="129">
        <f ca="1">SUM(M108:M119)</f>
        <v>0</v>
      </c>
      <c r="N120" s="131">
        <f ca="1">SUM(N108:N119)</f>
        <v>0</v>
      </c>
      <c r="Q120" s="116" t="s">
        <v>182</v>
      </c>
      <c r="S120" s="126">
        <f>SUM(S108:S119)</f>
        <v>1</v>
      </c>
      <c r="T120" s="127">
        <f ca="1">SUM(T108:T119)</f>
        <v>187144</v>
      </c>
      <c r="U120" s="128">
        <f ca="1">SUM(U108:U119)</f>
        <v>51005.29614454136</v>
      </c>
      <c r="W120" s="113"/>
      <c r="X120" s="115"/>
      <c r="AA120" s="115"/>
      <c r="AB120" s="129">
        <f ca="1">SUM(AB108:AB119)</f>
        <v>0</v>
      </c>
      <c r="AC120" s="131">
        <f ca="1">SUM(AC108:AC119)</f>
        <v>0</v>
      </c>
      <c r="AF120" s="116" t="s">
        <v>182</v>
      </c>
      <c r="AH120" s="126">
        <f>SUM(AH108:AH119)</f>
        <v>1</v>
      </c>
      <c r="AI120" s="127">
        <f ca="1">SUM(AI108:AI119)</f>
        <v>316468</v>
      </c>
      <c r="AJ120" s="128">
        <f ca="1">SUM(AJ108:AJ119)</f>
        <v>66521.240286396918</v>
      </c>
      <c r="AL120" s="113"/>
      <c r="AM120" s="115"/>
      <c r="AP120" s="115"/>
      <c r="AQ120" s="129">
        <f ca="1">SUM(AQ108:AQ119)</f>
        <v>12</v>
      </c>
      <c r="AR120" s="131">
        <f ca="1">SUM(AR108:AR119)</f>
        <v>1395000</v>
      </c>
    </row>
    <row r="122" spans="2:44" ht="15" customHeight="1" x14ac:dyDescent="0.25">
      <c r="C122">
        <v>2023</v>
      </c>
      <c r="R122">
        <v>2025</v>
      </c>
      <c r="AG122">
        <v>2030</v>
      </c>
    </row>
    <row r="123" spans="2:44" ht="20.100000000000001" customHeight="1" x14ac:dyDescent="0.25">
      <c r="C123" s="102" t="s">
        <v>16</v>
      </c>
      <c r="R123" s="102" t="s">
        <v>16</v>
      </c>
      <c r="AG123" s="102" t="s">
        <v>16</v>
      </c>
    </row>
    <row r="124" spans="2:44" ht="15" customHeight="1" thickBot="1" x14ac:dyDescent="0.3"/>
    <row r="125" spans="2:44" ht="15" customHeight="1" thickBot="1" x14ac:dyDescent="0.3">
      <c r="B125" s="138" t="s">
        <v>143</v>
      </c>
      <c r="C125" s="117"/>
      <c r="D125" s="152" t="s">
        <v>203</v>
      </c>
      <c r="E125" s="142" t="s">
        <v>218</v>
      </c>
      <c r="F125" s="144"/>
      <c r="G125" s="152" t="s">
        <v>215</v>
      </c>
      <c r="H125" s="142" t="s">
        <v>217</v>
      </c>
      <c r="I125" s="144"/>
      <c r="J125" s="142" t="s">
        <v>184</v>
      </c>
      <c r="K125" s="144"/>
      <c r="L125" s="142" t="s">
        <v>131</v>
      </c>
      <c r="M125" s="143"/>
      <c r="N125" s="144"/>
      <c r="Q125" s="138" t="s">
        <v>143</v>
      </c>
      <c r="R125" s="117"/>
      <c r="S125" s="152" t="s">
        <v>203</v>
      </c>
      <c r="T125" s="142" t="s">
        <v>218</v>
      </c>
      <c r="U125" s="144"/>
      <c r="V125" s="152" t="s">
        <v>215</v>
      </c>
      <c r="W125" s="142" t="s">
        <v>217</v>
      </c>
      <c r="X125" s="144"/>
      <c r="Y125" s="142" t="s">
        <v>184</v>
      </c>
      <c r="Z125" s="144"/>
      <c r="AA125" s="142" t="s">
        <v>131</v>
      </c>
      <c r="AB125" s="143"/>
      <c r="AC125" s="144"/>
      <c r="AF125" s="138" t="s">
        <v>143</v>
      </c>
      <c r="AG125" s="117"/>
      <c r="AH125" s="152" t="s">
        <v>203</v>
      </c>
      <c r="AI125" s="142" t="s">
        <v>218</v>
      </c>
      <c r="AJ125" s="144"/>
      <c r="AK125" s="152" t="s">
        <v>215</v>
      </c>
      <c r="AL125" s="142" t="s">
        <v>217</v>
      </c>
      <c r="AM125" s="144"/>
      <c r="AN125" s="142" t="s">
        <v>184</v>
      </c>
      <c r="AO125" s="144"/>
      <c r="AP125" s="142" t="s">
        <v>131</v>
      </c>
      <c r="AQ125" s="143"/>
      <c r="AR125" s="144"/>
    </row>
    <row r="126" spans="2:44" ht="30.75" customHeight="1" thickBot="1" x14ac:dyDescent="0.3">
      <c r="B126" s="139"/>
      <c r="C126" s="117"/>
      <c r="D126" s="153"/>
      <c r="E126" s="10" t="s">
        <v>185</v>
      </c>
      <c r="F126" s="10" t="s">
        <v>204</v>
      </c>
      <c r="G126" s="153"/>
      <c r="H126" s="10" t="s">
        <v>185</v>
      </c>
      <c r="I126" s="10" t="s">
        <v>204</v>
      </c>
      <c r="J126" s="10" t="s">
        <v>185</v>
      </c>
      <c r="K126" s="10" t="s">
        <v>204</v>
      </c>
      <c r="L126" s="10" t="s">
        <v>243</v>
      </c>
      <c r="M126" s="10" t="s">
        <v>195</v>
      </c>
      <c r="N126" s="10" t="s">
        <v>244</v>
      </c>
      <c r="Q126" s="139"/>
      <c r="R126" s="117"/>
      <c r="S126" s="153"/>
      <c r="T126" s="10" t="s">
        <v>185</v>
      </c>
      <c r="U126" s="10" t="s">
        <v>204</v>
      </c>
      <c r="V126" s="153"/>
      <c r="W126" s="10" t="s">
        <v>185</v>
      </c>
      <c r="X126" s="10" t="s">
        <v>204</v>
      </c>
      <c r="Y126" s="10" t="s">
        <v>185</v>
      </c>
      <c r="Z126" s="10" t="s">
        <v>204</v>
      </c>
      <c r="AA126" s="10" t="s">
        <v>243</v>
      </c>
      <c r="AB126" s="10" t="s">
        <v>195</v>
      </c>
      <c r="AC126" s="10" t="s">
        <v>244</v>
      </c>
      <c r="AF126" s="139"/>
      <c r="AG126" s="117"/>
      <c r="AH126" s="153"/>
      <c r="AI126" s="10" t="s">
        <v>185</v>
      </c>
      <c r="AJ126" s="10" t="s">
        <v>204</v>
      </c>
      <c r="AK126" s="153"/>
      <c r="AL126" s="10" t="s">
        <v>185</v>
      </c>
      <c r="AM126" s="10" t="s">
        <v>204</v>
      </c>
      <c r="AN126" s="10" t="s">
        <v>185</v>
      </c>
      <c r="AO126" s="10" t="s">
        <v>204</v>
      </c>
      <c r="AP126" s="10" t="s">
        <v>243</v>
      </c>
      <c r="AQ126" s="10" t="s">
        <v>195</v>
      </c>
      <c r="AR126" s="10" t="s">
        <v>244</v>
      </c>
    </row>
    <row r="127" spans="2:44" ht="15.75" customHeight="1" thickBot="1" x14ac:dyDescent="0.3">
      <c r="B127" s="69" t="s">
        <v>245</v>
      </c>
      <c r="D127" s="125">
        <v>0.15</v>
      </c>
      <c r="E127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)*D127,0)</f>
        <v>244591</v>
      </c>
      <c r="F127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)*D127</f>
        <v>77537.704332428548</v>
      </c>
      <c r="G127" s="105">
        <f>INDEX('Sites per Region'!$A:$Z, MATCH(B127,'Sites per Region'!$B:$B,0), MATCH(C$123,'Sites per Region'!$8:$8, 0))</f>
        <v>161.5</v>
      </c>
      <c r="H127" s="105">
        <f>_xlfn.LET(
_xlpm.data,'Base Stations Profiles'!$B:$E,
_xlpm.colSite,INDEX(_xlpm.data,,1),
_xlpm.colData,INDEX(_xlpm.data,,2),
_xlpm.rowRegion,MATCH(B127,_xlpm.colSite,0),
_xlpm.rowUser,MATCH("Maximum Simultaneously Active Users per Site",_xlfn.DROP(_xlpm.colSite,_xlpm.rowRegion),0),
INDEX(_xlpm.colData,_xlpm.rowRegion+_xlpm.rowUser))</f>
        <v>2500</v>
      </c>
      <c r="I127" s="124">
        <f>_xlfn.LET(
    _xlpm.data, 'Base Stations Profiles'!$B:$F,
    _xlpm.colSite, INDEX(_xlpm.data,,1),
    _xlpm.colauto, INDEX(_xlpm.data,,3),
    _xlpm.colData, INDEX(_xlpm.data,,2),
    _xlpm.rowRegion, MATCH(B127, _xlpm.colSite, 0),
    _xlpm.rowThroughput, MATCH("Maximum Throughput for Downlink per Site", _xlfn.DROP(_xlpm.colSite, _xlpm.rowRegion), 0),
    IF(INDEX(_xlpm.colauto, _xlpm.rowRegion + _xlpm.rowThroughput)='Model Configurator Sup'!$M$4,VLOOKUP(B127,'Base Stations Parameters'!$B:$E,4,0),INDEX(_xlpm.colData, _xlpm.rowRegion + _xlpm.rowThroughput))
)</f>
        <v>17000</v>
      </c>
      <c r="J127" s="106">
        <f ca="1">IF($G127&lt;=0,0,E127/(H127*$G127))</f>
        <v>0.60579814241486063</v>
      </c>
      <c r="K127" s="106">
        <f ca="1">IF($G127&lt;=0,0,F127/(I127*$G127))</f>
        <v>2.8241742608788398E-2</v>
      </c>
      <c r="L127" s="130">
        <f>VLOOKUP(B127,'Base Stations Parameters'!$B:$D,3,0)</f>
        <v>175000</v>
      </c>
      <c r="M127">
        <f ca="1">ROUNDUP(MAX(E127/H127-G127,F127/I127-G127,0),0)</f>
        <v>0</v>
      </c>
      <c r="N127" s="130">
        <f ca="1">M127*L127</f>
        <v>0</v>
      </c>
      <c r="Q127" s="69" t="s">
        <v>245</v>
      </c>
      <c r="S127" s="125">
        <v>0.15</v>
      </c>
      <c r="T127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)*S127,0)</f>
        <v>293551</v>
      </c>
      <c r="U127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)*S127</f>
        <v>85631.212824530419</v>
      </c>
      <c r="V127" s="105">
        <f>INDEX('Sites per Region'!$A:$AO, MATCH(Q127,'Sites per Region'!$B:$B,0), MATCH(R$123,'Sites per Region'!$8:$8, 0))</f>
        <v>161.5</v>
      </c>
      <c r="W127" s="105">
        <f>_xlfn.LET(
_xlpm.data,'Base Stations Profiles'!$B:$T,
_xlpm.colSite,INDEX(_xlpm.data,,1),
_xlpm.colData,INDEX(_xlpm.data,,2),
_xlpm.rowRegion,MATCH(Q127,_xlpm.colSite,0),
_xlpm.rowUser,MATCH("Maximum Simultaneously Active Users per Site",_xlfn.DROP(_xlpm.colSite,_xlpm.rowRegion),0),
INDEX(_xlpm.colData,_xlpm.rowRegion+_xlpm.rowUser))</f>
        <v>2500</v>
      </c>
      <c r="X127" s="124">
        <f>_xlfn.LET(
    _xlpm.data, 'Base Stations Profiles'!$B:$U,
    _xlpm.colSite, INDEX(_xlpm.data,,1),
    _xlpm.colauto, INDEX(_xlpm.data,,3),
    _xlpm.colData, INDEX(_xlpm.data,,2),
    _xlpm.rowRegion, MATCH(Q127, _xlpm.colSite, 0),
    _xlpm.rowThroughput, MATCH("Maximum Throughput for Downlink per Site", _xlfn.DROP(_xlpm.colSite, _xlpm.rowRegion), 0),
    IF(INDEX(_xlpm.colauto, _xlpm.rowRegion + _xlpm.rowThroughput)='Model Configurator Sup'!$M$4,VLOOKUP(Q127,'Base Stations Parameters'!$B:$T,4,0),INDEX(_xlpm.colData, _xlpm.rowRegion + _xlpm.rowThroughput))
)</f>
        <v>17000</v>
      </c>
      <c r="Y127" s="106">
        <f ca="1">IF($V127&lt;=0,0,T127/(W127*$V127))</f>
        <v>0.72706130030959748</v>
      </c>
      <c r="Z127" s="106">
        <f ca="1">IF($V127&lt;=0,0,U127/(X127*$V127))</f>
        <v>3.1189660471509895E-2</v>
      </c>
      <c r="AA127" s="130">
        <f>VLOOKUP(Q127,'Base Stations Parameters'!$B:$S,3,0)</f>
        <v>175000</v>
      </c>
      <c r="AB127">
        <f ca="1">ROUNDUP(MAX(T127/W127-V127,U127/X127-V127,0),0)</f>
        <v>0</v>
      </c>
      <c r="AC127" s="130">
        <f ca="1">AB127*AA127</f>
        <v>0</v>
      </c>
      <c r="AF127" s="69" t="s">
        <v>245</v>
      </c>
      <c r="AH127" s="125">
        <v>0.15</v>
      </c>
      <c r="AI127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)*AH127,0)</f>
        <v>495528</v>
      </c>
      <c r="AJ127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)*AH127</f>
        <v>116422.76385404295</v>
      </c>
      <c r="AK127" s="105">
        <f>INDEX('Sites per Region'!$A:$BD, MATCH(AF127,'Sites per Region'!$B:$B,0), MATCH(AG$123,'Sites per Region'!$8:$8, 0))</f>
        <v>161.5</v>
      </c>
      <c r="AL127" s="105">
        <f>_xlfn.LET(
_xlpm.data,'Base Stations Profiles'!$B:$AI,
_xlpm.colSite,INDEX(_xlpm.data,,1),
_xlpm.colData,INDEX(_xlpm.data,,2),
_xlpm.rowRegion,MATCH(AF127,_xlpm.colSite,0),
_xlpm.rowUser,MATCH("Maximum Simultaneously Active Users per Site",_xlfn.DROP(_xlpm.colSite,_xlpm.rowRegion),0),
INDEX(_xlpm.colData,_xlpm.rowRegion+_xlpm.rowUser))</f>
        <v>2500</v>
      </c>
      <c r="AM127" s="124">
        <f>_xlfn.LET(
    _xlpm.data, 'Base Stations Profiles'!$B:$AJ,
    _xlpm.colSite, INDEX(_xlpm.data,,1),
    _xlpm.colauto, INDEX(_xlpm.data,,3),
    _xlpm.colData, INDEX(_xlpm.data,,2),
    _xlpm.rowRegion, MATCH(AF127, _xlpm.colSite, 0),
    _xlpm.rowThroughput, MATCH("Maximum Throughput for Downlink per Site", _xlfn.DROP(_xlpm.colSite, _xlpm.rowRegion), 0),
    IF(INDEX(_xlpm.colauto, _xlpm.rowRegion + _xlpm.rowThroughput)='Model Configurator Sup'!$M$4,VLOOKUP(AF127,'Base Stations Parameters'!$B:$AI,4,0),INDEX(_xlpm.colData, _xlpm.rowRegion + _xlpm.rowThroughput))
)</f>
        <v>17000</v>
      </c>
      <c r="AN127" s="106">
        <f ca="1">IF($AK127&lt;=0,0,AI127/(AL127*$AK127))</f>
        <v>1.2273139318885449</v>
      </c>
      <c r="AO127" s="106">
        <f ca="1">IF($AK127&lt;=0,0,AJ127/(AM127*$AK127))</f>
        <v>4.2404940394843542E-2</v>
      </c>
      <c r="AP127" s="130">
        <f>VLOOKUP(AF127,'Base Stations Parameters'!$B:$AH,3,0)</f>
        <v>175000</v>
      </c>
      <c r="AQ127">
        <f ca="1">ROUNDUP(MAX(AI127/AL127-AK127,AJ127/AM127-AK127,0),0)</f>
        <v>37</v>
      </c>
      <c r="AR127" s="130">
        <f ca="1">AQ127*AP127</f>
        <v>6475000</v>
      </c>
    </row>
    <row r="128" spans="2:44" ht="15.75" customHeight="1" thickBot="1" x14ac:dyDescent="0.3">
      <c r="B128" s="69" t="s">
        <v>169</v>
      </c>
      <c r="D128" s="125">
        <v>0.15</v>
      </c>
      <c r="E128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)*D128,0)</f>
        <v>244591</v>
      </c>
      <c r="F128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)*D128</f>
        <v>77537.704332428548</v>
      </c>
      <c r="G128" s="105">
        <f>INDEX('Sites per Region'!$A:$Z, MATCH(B128,'Sites per Region'!$B:$B,0), MATCH(C$123,'Sites per Region'!$8:$8, 0))</f>
        <v>161.5</v>
      </c>
      <c r="H128" s="105">
        <f>_xlfn.LET(
_xlpm.data,'Base Stations Profiles'!$B:$E,
_xlpm.colSite,INDEX(_xlpm.data,,1),
_xlpm.colData,INDEX(_xlpm.data,,2),
_xlpm.rowRegion,MATCH(B128,_xlpm.colSite,0),
_xlpm.rowUser,MATCH("Maximum Simultaneously Active Users per Site",_xlfn.DROP(_xlpm.colSite,_xlpm.rowRegion),0),
INDEX(_xlpm.colData,_xlpm.rowRegion+_xlpm.rowUser))</f>
        <v>2500</v>
      </c>
      <c r="I128" s="124">
        <f>_xlfn.LET(
    _xlpm.data, 'Base Stations Profiles'!$B:$F,
    _xlpm.colSite, INDEX(_xlpm.data,,1),
    _xlpm.colauto, INDEX(_xlpm.data,,3),
    _xlpm.colData, INDEX(_xlpm.data,,2),
    _xlpm.rowRegion, MATCH(B128, _xlpm.colSite, 0),
    _xlpm.rowThroughput, MATCH("Maximum Throughput for Downlink per Site", _xlfn.DROP(_xlpm.colSite, _xlpm.rowRegion), 0),
    IF(INDEX(_xlpm.colauto, _xlpm.rowRegion + _xlpm.rowThroughput)='Model Configurator Sup'!$M$4,VLOOKUP(B128,'Base Stations Parameters'!$B:$E,4,0),INDEX(_xlpm.colData, _xlpm.rowRegion + _xlpm.rowThroughput))
)</f>
        <v>17000</v>
      </c>
      <c r="J128" s="106">
        <f ca="1">IF($G128&lt;=0,0,E128/(H128*$G128))</f>
        <v>0.60579814241486063</v>
      </c>
      <c r="K128" s="106">
        <f ca="1">IF($G128&lt;=0,0,F128/(I128*$G128))</f>
        <v>2.8241742608788398E-2</v>
      </c>
      <c r="L128" s="130">
        <f>VLOOKUP(B128,'Base Stations Parameters'!$B:$D,3,0)</f>
        <v>145000</v>
      </c>
      <c r="M128">
        <f ca="1">ROUNDUP(MAX(E128/H128-G128,F128/I128-G128,0),0)</f>
        <v>0</v>
      </c>
      <c r="N128" s="130">
        <f ca="1">M128*L128</f>
        <v>0</v>
      </c>
      <c r="Q128" s="69" t="s">
        <v>169</v>
      </c>
      <c r="S128" s="125">
        <v>0.15</v>
      </c>
      <c r="T128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)*S128,0)</f>
        <v>293551</v>
      </c>
      <c r="U128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)*S128</f>
        <v>85631.212824530419</v>
      </c>
      <c r="V128" s="105">
        <f>INDEX('Sites per Region'!$A:$AO, MATCH(Q128,'Sites per Region'!$B:$B,0), MATCH(R$123,'Sites per Region'!$8:$8, 0))</f>
        <v>161.5</v>
      </c>
      <c r="W128" s="105">
        <f>_xlfn.LET(
_xlpm.data,'Base Stations Profiles'!$B:$T,
_xlpm.colSite,INDEX(_xlpm.data,,1),
_xlpm.colData,INDEX(_xlpm.data,,2),
_xlpm.rowRegion,MATCH(Q128,_xlpm.colSite,0),
_xlpm.rowUser,MATCH("Maximum Simultaneously Active Users per Site",_xlfn.DROP(_xlpm.colSite,_xlpm.rowRegion),0),
INDEX(_xlpm.colData,_xlpm.rowRegion+_xlpm.rowUser))</f>
        <v>2500</v>
      </c>
      <c r="X128" s="124">
        <f>_xlfn.LET(
    _xlpm.data, 'Base Stations Profiles'!$B:$U,
    _xlpm.colSite, INDEX(_xlpm.data,,1),
    _xlpm.colauto, INDEX(_xlpm.data,,3),
    _xlpm.colData, INDEX(_xlpm.data,,2),
    _xlpm.rowRegion, MATCH(Q128, _xlpm.colSite, 0),
    _xlpm.rowThroughput, MATCH("Maximum Throughput for Downlink per Site", _xlfn.DROP(_xlpm.colSite, _xlpm.rowRegion), 0),
    IF(INDEX(_xlpm.colauto, _xlpm.rowRegion + _xlpm.rowThroughput)='Model Configurator Sup'!$M$4,VLOOKUP(Q128,'Base Stations Parameters'!$B:$T,4,0),INDEX(_xlpm.colData, _xlpm.rowRegion + _xlpm.rowThroughput))
)</f>
        <v>17000</v>
      </c>
      <c r="Y128" s="106">
        <f ca="1">IF($V128&lt;=0,0,T128/(W128*$V128))</f>
        <v>0.72706130030959748</v>
      </c>
      <c r="Z128" s="106">
        <f ca="1">IF($V128&lt;=0,0,U128/(X128*$V128))</f>
        <v>3.1189660471509895E-2</v>
      </c>
      <c r="AA128" s="130">
        <f>VLOOKUP(Q128,'Base Stations Parameters'!$B:$S,3,0)</f>
        <v>145000</v>
      </c>
      <c r="AB128">
        <f ca="1">ROUNDUP(MAX(T128/W128-V128,U128/X128-V128,0),0)</f>
        <v>0</v>
      </c>
      <c r="AC128" s="130">
        <f ca="1">AB128*AA128</f>
        <v>0</v>
      </c>
      <c r="AF128" s="69" t="s">
        <v>169</v>
      </c>
      <c r="AH128" s="125">
        <v>0.15</v>
      </c>
      <c r="AI128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)*AH128,0)</f>
        <v>495528</v>
      </c>
      <c r="AJ128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)*AH128</f>
        <v>116422.76385404295</v>
      </c>
      <c r="AK128" s="105">
        <f>INDEX('Sites per Region'!$A:$BD, MATCH(AF128,'Sites per Region'!$B:$B,0), MATCH(AG$123,'Sites per Region'!$8:$8, 0))</f>
        <v>161.5</v>
      </c>
      <c r="AL128" s="105">
        <f>_xlfn.LET(
_xlpm.data,'Base Stations Profiles'!$B:$AI,
_xlpm.colSite,INDEX(_xlpm.data,,1),
_xlpm.colData,INDEX(_xlpm.data,,2),
_xlpm.rowRegion,MATCH(AF128,_xlpm.colSite,0),
_xlpm.rowUser,MATCH("Maximum Simultaneously Active Users per Site",_xlfn.DROP(_xlpm.colSite,_xlpm.rowRegion),0),
INDEX(_xlpm.colData,_xlpm.rowRegion+_xlpm.rowUser))</f>
        <v>2500</v>
      </c>
      <c r="AM128" s="124">
        <f>_xlfn.LET(
    _xlpm.data, 'Base Stations Profiles'!$B:$AJ,
    _xlpm.colSite, INDEX(_xlpm.data,,1),
    _xlpm.colauto, INDEX(_xlpm.data,,3),
    _xlpm.colData, INDEX(_xlpm.data,,2),
    _xlpm.rowRegion, MATCH(AF128, _xlpm.colSite, 0),
    _xlpm.rowThroughput, MATCH("Maximum Throughput for Downlink per Site", _xlfn.DROP(_xlpm.colSite, _xlpm.rowRegion), 0),
    IF(INDEX(_xlpm.colauto, _xlpm.rowRegion + _xlpm.rowThroughput)='Model Configurator Sup'!$M$4,VLOOKUP(AF128,'Base Stations Parameters'!$B:$AI,4,0),INDEX(_xlpm.colData, _xlpm.rowRegion + _xlpm.rowThroughput))
)</f>
        <v>17000</v>
      </c>
      <c r="AN128" s="106">
        <f ca="1">IF($AK128&lt;=0,0,AI128/(AL128*$AK128))</f>
        <v>1.2273139318885449</v>
      </c>
      <c r="AO128" s="106">
        <f ca="1">IF($AK128&lt;=0,0,AJ128/(AM128*$AK128))</f>
        <v>4.2404940394843542E-2</v>
      </c>
      <c r="AP128" s="130">
        <f>VLOOKUP(AF128,'Base Stations Parameters'!$B:$AH,3,0)</f>
        <v>145000</v>
      </c>
      <c r="AQ128">
        <f ca="1">ROUNDUP(MAX(AI128/AL128-AK128,AJ128/AM128-AK128,0),0)</f>
        <v>37</v>
      </c>
      <c r="AR128" s="130">
        <f ca="1">AQ128*AP128</f>
        <v>5365000</v>
      </c>
    </row>
    <row r="129" spans="2:44" ht="15.75" customHeight="1" thickBot="1" x14ac:dyDescent="0.3">
      <c r="B129" s="69" t="s">
        <v>246</v>
      </c>
      <c r="D129" s="125">
        <v>0.15</v>
      </c>
      <c r="E129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)*D129,0)</f>
        <v>244591</v>
      </c>
      <c r="F129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)*D129</f>
        <v>77537.704332428548</v>
      </c>
      <c r="G129" s="105">
        <f>INDEX('Sites per Region'!$A:$Z, MATCH(B129,'Sites per Region'!$B:$B,0), MATCH(C$123,'Sites per Region'!$8:$8, 0))</f>
        <v>154</v>
      </c>
      <c r="H129" s="105">
        <f>_xlfn.LET(
_xlpm.data,'Base Stations Profiles'!$B:$E,
_xlpm.colSite,INDEX(_xlpm.data,,1),
_xlpm.colData,INDEX(_xlpm.data,,2),
_xlpm.rowRegion,MATCH(B129,_xlpm.colSite,0),
_xlpm.rowUser,MATCH("Maximum Simultaneously Active Users per Site",_xlfn.DROP(_xlpm.colSite,_xlpm.rowRegion),0),
INDEX(_xlpm.colData,_xlpm.rowRegion+_xlpm.rowUser))</f>
        <v>1500</v>
      </c>
      <c r="I129" s="124">
        <f>_xlfn.LET(
    _xlpm.data, 'Base Stations Profiles'!$B:$F,
    _xlpm.colSite, INDEX(_xlpm.data,,1),
    _xlpm.colauto, INDEX(_xlpm.data,,3),
    _xlpm.colData, INDEX(_xlpm.data,,2),
    _xlpm.rowRegion, MATCH(B129, _xlpm.colSite, 0),
    _xlpm.rowThroughput, MATCH("Maximum Throughput for Downlink per Site", _xlfn.DROP(_xlpm.colSite, _xlpm.rowRegion), 0),
    IF(INDEX(_xlpm.colauto, _xlpm.rowRegion + _xlpm.rowThroughput)='Model Configurator Sup'!$M$4,VLOOKUP(B129,'Base Stations Parameters'!$B:$E,4,0),INDEX(_xlpm.colData, _xlpm.rowRegion + _xlpm.rowThroughput))
)</f>
        <v>12000</v>
      </c>
      <c r="J129" s="106">
        <f ca="1">IF($G129&lt;=0,0,E129/(H129*$G129))</f>
        <v>1.0588354978354979</v>
      </c>
      <c r="K129" s="106">
        <f ca="1">IF($G129&lt;=0,0,F129/(I129*$G129))</f>
        <v>4.1957632214517614E-2</v>
      </c>
      <c r="L129" s="130">
        <f>VLOOKUP(B129,'Base Stations Parameters'!$B:$D,3,0)</f>
        <v>145000</v>
      </c>
      <c r="M129">
        <f ca="1">ROUNDUP(MAX(E129/H129-G129,F129/I129-G129,0),0)</f>
        <v>10</v>
      </c>
      <c r="N129" s="130">
        <f ca="1">M129*L129</f>
        <v>1450000</v>
      </c>
      <c r="Q129" s="69" t="s">
        <v>246</v>
      </c>
      <c r="S129" s="125">
        <v>0.15</v>
      </c>
      <c r="T129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)*S129,0)</f>
        <v>293551</v>
      </c>
      <c r="U129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)*S129</f>
        <v>85631.212824530419</v>
      </c>
      <c r="V129" s="105">
        <f>INDEX('Sites per Region'!$A:$AO, MATCH(Q129,'Sites per Region'!$B:$B,0), MATCH(R$123,'Sites per Region'!$8:$8, 0))</f>
        <v>154</v>
      </c>
      <c r="W129" s="105">
        <f>_xlfn.LET(
_xlpm.data,'Base Stations Profiles'!$B:$T,
_xlpm.colSite,INDEX(_xlpm.data,,1),
_xlpm.colData,INDEX(_xlpm.data,,2),
_xlpm.rowRegion,MATCH(Q129,_xlpm.colSite,0),
_xlpm.rowUser,MATCH("Maximum Simultaneously Active Users per Site",_xlfn.DROP(_xlpm.colSite,_xlpm.rowRegion),0),
INDEX(_xlpm.colData,_xlpm.rowRegion+_xlpm.rowUser))</f>
        <v>1500</v>
      </c>
      <c r="X129" s="124">
        <f>_xlfn.LET(
    _xlpm.data, 'Base Stations Profiles'!$B:$U,
    _xlpm.colSite, INDEX(_xlpm.data,,1),
    _xlpm.colauto, INDEX(_xlpm.data,,3),
    _xlpm.colData, INDEX(_xlpm.data,,2),
    _xlpm.rowRegion, MATCH(Q129, _xlpm.colSite, 0),
    _xlpm.rowThroughput, MATCH("Maximum Throughput for Downlink per Site", _xlfn.DROP(_xlpm.colSite, _xlpm.rowRegion), 0),
    IF(INDEX(_xlpm.colauto, _xlpm.rowRegion + _xlpm.rowThroughput)='Model Configurator Sup'!$M$4,VLOOKUP(Q129,'Base Stations Parameters'!$B:$T,4,0),INDEX(_xlpm.colData, _xlpm.rowRegion + _xlpm.rowThroughput))
)</f>
        <v>12000</v>
      </c>
      <c r="Y129" s="106">
        <f ca="1">IF($V129&lt;=0,0,T129/(W129*$V129))</f>
        <v>1.2707835497835498</v>
      </c>
      <c r="Z129" s="106">
        <f ca="1">IF($V129&lt;=0,0,U129/(X129*$V129))</f>
        <v>4.6337236376910403E-2</v>
      </c>
      <c r="AA129" s="130">
        <f>VLOOKUP(Q129,'Base Stations Parameters'!$B:$S,3,0)</f>
        <v>145000</v>
      </c>
      <c r="AB129">
        <f ca="1">ROUNDUP(MAX(T129/W129-V129,U129/X129-V129,0),0)</f>
        <v>42</v>
      </c>
      <c r="AC129" s="130">
        <f ca="1">AB129*AA129</f>
        <v>6090000</v>
      </c>
      <c r="AF129" s="69" t="s">
        <v>246</v>
      </c>
      <c r="AH129" s="125">
        <v>0.15</v>
      </c>
      <c r="AI129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)*AH129,0)</f>
        <v>495528</v>
      </c>
      <c r="AJ129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)*AH129</f>
        <v>116422.76385404295</v>
      </c>
      <c r="AK129" s="105">
        <f>INDEX('Sites per Region'!$A:$BD, MATCH(AF129,'Sites per Region'!$B:$B,0), MATCH(AG$123,'Sites per Region'!$8:$8, 0))</f>
        <v>154</v>
      </c>
      <c r="AL129" s="105">
        <f>_xlfn.LET(
_xlpm.data,'Base Stations Profiles'!$B:$AI,
_xlpm.colSite,INDEX(_xlpm.data,,1),
_xlpm.colData,INDEX(_xlpm.data,,2),
_xlpm.rowRegion,MATCH(AF129,_xlpm.colSite,0),
_xlpm.rowUser,MATCH("Maximum Simultaneously Active Users per Site",_xlfn.DROP(_xlpm.colSite,_xlpm.rowRegion),0),
INDEX(_xlpm.colData,_xlpm.rowRegion+_xlpm.rowUser))</f>
        <v>1500</v>
      </c>
      <c r="AM129" s="124">
        <f>_xlfn.LET(
    _xlpm.data, 'Base Stations Profiles'!$B:$AJ,
    _xlpm.colSite, INDEX(_xlpm.data,,1),
    _xlpm.colauto, INDEX(_xlpm.data,,3),
    _xlpm.colData, INDEX(_xlpm.data,,2),
    _xlpm.rowRegion, MATCH(AF129, _xlpm.colSite, 0),
    _xlpm.rowThroughput, MATCH("Maximum Throughput for Downlink per Site", _xlfn.DROP(_xlpm.colSite, _xlpm.rowRegion), 0),
    IF(INDEX(_xlpm.colauto, _xlpm.rowRegion + _xlpm.rowThroughput)='Model Configurator Sup'!$M$4,VLOOKUP(AF129,'Base Stations Parameters'!$B:$AI,4,0),INDEX(_xlpm.colData, _xlpm.rowRegion + _xlpm.rowThroughput))
)</f>
        <v>12000</v>
      </c>
      <c r="AN129" s="106">
        <f ca="1">IF($AK129&lt;=0,0,AI129/(AL129*$AK129))</f>
        <v>2.145142857142857</v>
      </c>
      <c r="AO129" s="106">
        <f ca="1">IF($AK129&lt;=0,0,AJ129/(AM129*$AK129))</f>
        <v>6.2999331089850077E-2</v>
      </c>
      <c r="AP129" s="130">
        <f>VLOOKUP(AF129,'Base Stations Parameters'!$B:$AH,3,0)</f>
        <v>145000</v>
      </c>
      <c r="AQ129">
        <f ca="1">ROUNDUP(MAX(AI129/AL129-AK129,AJ129/AM129-AK129,0),0)</f>
        <v>177</v>
      </c>
      <c r="AR129" s="130">
        <f ca="1">AQ129*AP129</f>
        <v>25665000</v>
      </c>
    </row>
    <row r="130" spans="2:44" ht="15.75" customHeight="1" thickBot="1" x14ac:dyDescent="0.3">
      <c r="B130" s="69" t="s">
        <v>170</v>
      </c>
      <c r="D130" s="125">
        <v>0.15</v>
      </c>
      <c r="E130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)*D130,0)</f>
        <v>244591</v>
      </c>
      <c r="F130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)*D130</f>
        <v>77537.704332428548</v>
      </c>
      <c r="G130" s="105">
        <f>INDEX('Sites per Region'!$A:$Z, MATCH(B130,'Sites per Region'!$B:$B,0), MATCH(C$123,'Sites per Region'!$8:$8, 0))</f>
        <v>154</v>
      </c>
      <c r="H130" s="105">
        <f>_xlfn.LET(
_xlpm.data,'Base Stations Profiles'!$B:$E,
_xlpm.colSite,INDEX(_xlpm.data,,1),
_xlpm.colData,INDEX(_xlpm.data,,2),
_xlpm.rowRegion,MATCH(B130,_xlpm.colSite,0),
_xlpm.rowUser,MATCH("Maximum Simultaneously Active Users per Site",_xlfn.DROP(_xlpm.colSite,_xlpm.rowRegion),0),
INDEX(_xlpm.colData,_xlpm.rowRegion+_xlpm.rowUser))</f>
        <v>1500</v>
      </c>
      <c r="I130" s="124">
        <f>_xlfn.LET(
    _xlpm.data, 'Base Stations Profiles'!$B:$F,
    _xlpm.colSite, INDEX(_xlpm.data,,1),
    _xlpm.colauto, INDEX(_xlpm.data,,3),
    _xlpm.colData, INDEX(_xlpm.data,,2),
    _xlpm.rowRegion, MATCH(B130, _xlpm.colSite, 0),
    _xlpm.rowThroughput, MATCH("Maximum Throughput for Downlink per Site", _xlfn.DROP(_xlpm.colSite, _xlpm.rowRegion), 0),
    IF(INDEX(_xlpm.colauto, _xlpm.rowRegion + _xlpm.rowThroughput)='Model Configurator Sup'!$M$4,VLOOKUP(B130,'Base Stations Parameters'!$B:$E,4,0),INDEX(_xlpm.colData, _xlpm.rowRegion + _xlpm.rowThroughput))
)</f>
        <v>12000</v>
      </c>
      <c r="J130" s="106">
        <f ca="1">IF($G130&lt;=0,0,E130/(H130*$G130))</f>
        <v>1.0588354978354979</v>
      </c>
      <c r="K130" s="106">
        <f ca="1">IF($G130&lt;=0,0,F130/(I130*$G130))</f>
        <v>4.1957632214517614E-2</v>
      </c>
      <c r="L130" s="130">
        <f>VLOOKUP(B130,'Base Stations Parameters'!$B:$D,3,0)</f>
        <v>100000</v>
      </c>
      <c r="M130">
        <f ca="1">ROUNDUP(MAX(E130/H130-G130,F130/I130-G130,0),0)</f>
        <v>10</v>
      </c>
      <c r="N130" s="130">
        <f ca="1">M130*L130</f>
        <v>1000000</v>
      </c>
      <c r="Q130" s="69" t="s">
        <v>170</v>
      </c>
      <c r="S130" s="125">
        <v>0.15</v>
      </c>
      <c r="T130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)*S130,0)</f>
        <v>293551</v>
      </c>
      <c r="U130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)*S130</f>
        <v>85631.212824530419</v>
      </c>
      <c r="V130" s="105">
        <f>INDEX('Sites per Region'!$A:$AO, MATCH(Q130,'Sites per Region'!$B:$B,0), MATCH(R$123,'Sites per Region'!$8:$8, 0))</f>
        <v>154</v>
      </c>
      <c r="W130" s="105">
        <f>_xlfn.LET(
_xlpm.data,'Base Stations Profiles'!$B:$T,
_xlpm.colSite,INDEX(_xlpm.data,,1),
_xlpm.colData,INDEX(_xlpm.data,,2),
_xlpm.rowRegion,MATCH(Q130,_xlpm.colSite,0),
_xlpm.rowUser,MATCH("Maximum Simultaneously Active Users per Site",_xlfn.DROP(_xlpm.colSite,_xlpm.rowRegion),0),
INDEX(_xlpm.colData,_xlpm.rowRegion+_xlpm.rowUser))</f>
        <v>1500</v>
      </c>
      <c r="X130" s="124">
        <f>_xlfn.LET(
    _xlpm.data, 'Base Stations Profiles'!$B:$U,
    _xlpm.colSite, INDEX(_xlpm.data,,1),
    _xlpm.colauto, INDEX(_xlpm.data,,3),
    _xlpm.colData, INDEX(_xlpm.data,,2),
    _xlpm.rowRegion, MATCH(Q130, _xlpm.colSite, 0),
    _xlpm.rowThroughput, MATCH("Maximum Throughput for Downlink per Site", _xlfn.DROP(_xlpm.colSite, _xlpm.rowRegion), 0),
    IF(INDEX(_xlpm.colauto, _xlpm.rowRegion + _xlpm.rowThroughput)='Model Configurator Sup'!$M$4,VLOOKUP(Q130,'Base Stations Parameters'!$B:$T,4,0),INDEX(_xlpm.colData, _xlpm.rowRegion + _xlpm.rowThroughput))
)</f>
        <v>12000</v>
      </c>
      <c r="Y130" s="106">
        <f ca="1">IF($V130&lt;=0,0,T130/(W130*$V130))</f>
        <v>1.2707835497835498</v>
      </c>
      <c r="Z130" s="106">
        <f ca="1">IF($V130&lt;=0,0,U130/(X130*$V130))</f>
        <v>4.6337236376910403E-2</v>
      </c>
      <c r="AA130" s="130">
        <f>VLOOKUP(Q130,'Base Stations Parameters'!$B:$S,3,0)</f>
        <v>100000</v>
      </c>
      <c r="AB130">
        <f ca="1">ROUNDUP(MAX(T130/W130-V130,U130/X130-V130,0),0)</f>
        <v>42</v>
      </c>
      <c r="AC130" s="130">
        <f ca="1">AB130*AA130</f>
        <v>4200000</v>
      </c>
      <c r="AF130" s="69" t="s">
        <v>170</v>
      </c>
      <c r="AH130" s="125">
        <v>0.15</v>
      </c>
      <c r="AI130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)*AH130,0)</f>
        <v>495528</v>
      </c>
      <c r="AJ130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)*AH130</f>
        <v>116422.76385404295</v>
      </c>
      <c r="AK130" s="105">
        <f>INDEX('Sites per Region'!$A:$BD, MATCH(AF130,'Sites per Region'!$B:$B,0), MATCH(AG$123,'Sites per Region'!$8:$8, 0))</f>
        <v>154</v>
      </c>
      <c r="AL130" s="105">
        <f>_xlfn.LET(
_xlpm.data,'Base Stations Profiles'!$B:$AI,
_xlpm.colSite,INDEX(_xlpm.data,,1),
_xlpm.colData,INDEX(_xlpm.data,,2),
_xlpm.rowRegion,MATCH(AF130,_xlpm.colSite,0),
_xlpm.rowUser,MATCH("Maximum Simultaneously Active Users per Site",_xlfn.DROP(_xlpm.colSite,_xlpm.rowRegion),0),
INDEX(_xlpm.colData,_xlpm.rowRegion+_xlpm.rowUser))</f>
        <v>1500</v>
      </c>
      <c r="AM130" s="124">
        <f>_xlfn.LET(
    _xlpm.data, 'Base Stations Profiles'!$B:$AJ,
    _xlpm.colSite, INDEX(_xlpm.data,,1),
    _xlpm.colauto, INDEX(_xlpm.data,,3),
    _xlpm.colData, INDEX(_xlpm.data,,2),
    _xlpm.rowRegion, MATCH(AF130, _xlpm.colSite, 0),
    _xlpm.rowThroughput, MATCH("Maximum Throughput for Downlink per Site", _xlfn.DROP(_xlpm.colSite, _xlpm.rowRegion), 0),
    IF(INDEX(_xlpm.colauto, _xlpm.rowRegion + _xlpm.rowThroughput)='Model Configurator Sup'!$M$4,VLOOKUP(AF130,'Base Stations Parameters'!$B:$AI,4,0),INDEX(_xlpm.colData, _xlpm.rowRegion + _xlpm.rowThroughput))
)</f>
        <v>12000</v>
      </c>
      <c r="AN130" s="106">
        <f ca="1">IF($AK130&lt;=0,0,AI130/(AL130*$AK130))</f>
        <v>2.145142857142857</v>
      </c>
      <c r="AO130" s="106">
        <f ca="1">IF($AK130&lt;=0,0,AJ130/(AM130*$AK130))</f>
        <v>6.2999331089850077E-2</v>
      </c>
      <c r="AP130" s="130">
        <f>VLOOKUP(AF130,'Base Stations Parameters'!$B:$AH,3,0)</f>
        <v>100000</v>
      </c>
      <c r="AQ130">
        <f ca="1">ROUNDUP(MAX(AI130/AL130-AK130,AJ130/AM130-AK130,0),0)</f>
        <v>177</v>
      </c>
      <c r="AR130" s="130">
        <f ca="1">AQ130*AP130</f>
        <v>17700000</v>
      </c>
    </row>
    <row r="131" spans="2:44" ht="15.75" customHeight="1" thickBot="1" x14ac:dyDescent="0.3">
      <c r="B131" s="69" t="s">
        <v>247</v>
      </c>
      <c r="D131" s="125">
        <v>7.4999999999999997E-2</v>
      </c>
      <c r="E131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)*D131,0)</f>
        <v>122295</v>
      </c>
      <c r="F131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)*D131</f>
        <v>38768.852166214274</v>
      </c>
      <c r="G131" s="105">
        <f>INDEX('Sites per Region'!$A:$Z, MATCH(B131,'Sites per Region'!$B:$B,0), MATCH(C$123,'Sites per Region'!$8:$8, 0))</f>
        <v>65.5</v>
      </c>
      <c r="H131" s="105">
        <f>_xlfn.LET(
_xlpm.data,'Base Stations Profiles'!$B:$E,
_xlpm.colSite,INDEX(_xlpm.data,,1),
_xlpm.colData,INDEX(_xlpm.data,,2),
_xlpm.rowRegion,MATCH(B131,_xlpm.colSite,0),
_xlpm.rowUser,MATCH("Maximum Simultaneously Active Users per Site",_xlfn.DROP(_xlpm.colSite,_xlpm.rowRegion),0),
INDEX(_xlpm.colData,_xlpm.rowRegion+_xlpm.rowUser))</f>
        <v>750</v>
      </c>
      <c r="I131" s="124">
        <f>_xlfn.LET(
    _xlpm.data, 'Base Stations Profiles'!$B:$F,
    _xlpm.colSite, INDEX(_xlpm.data,,1),
    _xlpm.colauto, INDEX(_xlpm.data,,3),
    _xlpm.colData, INDEX(_xlpm.data,,2),
    _xlpm.rowRegion, MATCH(B131, _xlpm.colSite, 0),
    _xlpm.rowThroughput, MATCH("Maximum Throughput for Downlink per Site", _xlfn.DROP(_xlpm.colSite, _xlpm.rowRegion), 0),
    IF(INDEX(_xlpm.colauto, _xlpm.rowRegion + _xlpm.rowThroughput)='Model Configurator Sup'!$M$4,VLOOKUP(B131,'Base Stations Parameters'!$B:$E,4,0),INDEX(_xlpm.colData, _xlpm.rowRegion + _xlpm.rowThroughput))
)</f>
        <v>5000</v>
      </c>
      <c r="J131" s="106">
        <f ca="1">IF($G131&lt;=0,0,E131/(H131*$G131))</f>
        <v>2.4894656488549618</v>
      </c>
      <c r="K131" s="106">
        <f ca="1">IF($G131&lt;=0,0,F131/(I131*$G131))</f>
        <v>0.11837817455332603</v>
      </c>
      <c r="L131" s="130">
        <f>VLOOKUP(B131,'Base Stations Parameters'!$B:$D,3,0)</f>
        <v>100000</v>
      </c>
      <c r="M131">
        <f ca="1">ROUNDUP(MAX(E131/H131-G131,F131/I131-G131,0),0)</f>
        <v>98</v>
      </c>
      <c r="N131" s="130">
        <f ca="1">M131*L131</f>
        <v>9800000</v>
      </c>
      <c r="Q131" s="69" t="s">
        <v>247</v>
      </c>
      <c r="S131" s="125">
        <v>7.4999999999999997E-2</v>
      </c>
      <c r="T131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)*S131,0)</f>
        <v>146775</v>
      </c>
      <c r="U131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)*S131</f>
        <v>42815.60641226521</v>
      </c>
      <c r="V131" s="105">
        <f>INDEX('Sites per Region'!$A:$AO, MATCH(Q131,'Sites per Region'!$B:$B,0), MATCH(R$123,'Sites per Region'!$8:$8, 0))</f>
        <v>65.5</v>
      </c>
      <c r="W131" s="105">
        <f>_xlfn.LET(
_xlpm.data,'Base Stations Profiles'!$B:$T,
_xlpm.colSite,INDEX(_xlpm.data,,1),
_xlpm.colData,INDEX(_xlpm.data,,2),
_xlpm.rowRegion,MATCH(Q131,_xlpm.colSite,0),
_xlpm.rowUser,MATCH("Maximum Simultaneously Active Users per Site",_xlfn.DROP(_xlpm.colSite,_xlpm.rowRegion),0),
INDEX(_xlpm.colData,_xlpm.rowRegion+_xlpm.rowUser))</f>
        <v>750</v>
      </c>
      <c r="X131" s="124">
        <f>_xlfn.LET(
    _xlpm.data, 'Base Stations Profiles'!$B:$U,
    _xlpm.colSite, INDEX(_xlpm.data,,1),
    _xlpm.colauto, INDEX(_xlpm.data,,3),
    _xlpm.colData, INDEX(_xlpm.data,,2),
    _xlpm.rowRegion, MATCH(Q131, _xlpm.colSite, 0),
    _xlpm.rowThroughput, MATCH("Maximum Throughput for Downlink per Site", _xlfn.DROP(_xlpm.colSite, _xlpm.rowRegion), 0),
    IF(INDEX(_xlpm.colauto, _xlpm.rowRegion + _xlpm.rowThroughput)='Model Configurator Sup'!$M$4,VLOOKUP(Q131,'Base Stations Parameters'!$B:$T,4,0),INDEX(_xlpm.colData, _xlpm.rowRegion + _xlpm.rowThroughput))
)</f>
        <v>5000</v>
      </c>
      <c r="Y131" s="106">
        <f ca="1">IF($V131&lt;=0,0,T131/(W131*$V131))</f>
        <v>2.9877862595419846</v>
      </c>
      <c r="Z131" s="106">
        <f ca="1">IF($V131&lt;=0,0,U131/(X131*$V131))</f>
        <v>0.13073467606798536</v>
      </c>
      <c r="AA131" s="130">
        <f>VLOOKUP(Q131,'Base Stations Parameters'!$B:$S,3,0)</f>
        <v>100000</v>
      </c>
      <c r="AB131">
        <f ca="1">ROUNDUP(MAX(T131/W131-V131,U131/X131-V131,0),0)</f>
        <v>131</v>
      </c>
      <c r="AC131" s="130">
        <f ca="1">AB131*AA131</f>
        <v>13100000</v>
      </c>
      <c r="AF131" s="69" t="s">
        <v>247</v>
      </c>
      <c r="AH131" s="125">
        <v>7.4999999999999997E-2</v>
      </c>
      <c r="AI131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)*AH131,0)</f>
        <v>247764</v>
      </c>
      <c r="AJ131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)*AH131</f>
        <v>58211.381927021474</v>
      </c>
      <c r="AK131" s="105">
        <f>INDEX('Sites per Region'!$A:$BD, MATCH(AF131,'Sites per Region'!$B:$B,0), MATCH(AG$123,'Sites per Region'!$8:$8, 0))</f>
        <v>65.5</v>
      </c>
      <c r="AL131" s="105">
        <f>_xlfn.LET(
_xlpm.data,'Base Stations Profiles'!$B:$AI,
_xlpm.colSite,INDEX(_xlpm.data,,1),
_xlpm.colData,INDEX(_xlpm.data,,2),
_xlpm.rowRegion,MATCH(AF131,_xlpm.colSite,0),
_xlpm.rowUser,MATCH("Maximum Simultaneously Active Users per Site",_xlfn.DROP(_xlpm.colSite,_xlpm.rowRegion),0),
INDEX(_xlpm.colData,_xlpm.rowRegion+_xlpm.rowUser))</f>
        <v>750</v>
      </c>
      <c r="AM131" s="124">
        <f>_xlfn.LET(
    _xlpm.data, 'Base Stations Profiles'!$B:$AJ,
    _xlpm.colSite, INDEX(_xlpm.data,,1),
    _xlpm.colauto, INDEX(_xlpm.data,,3),
    _xlpm.colData, INDEX(_xlpm.data,,2),
    _xlpm.rowRegion, MATCH(AF131, _xlpm.colSite, 0),
    _xlpm.rowThroughput, MATCH("Maximum Throughput for Downlink per Site", _xlfn.DROP(_xlpm.colSite, _xlpm.rowRegion), 0),
    IF(INDEX(_xlpm.colauto, _xlpm.rowRegion + _xlpm.rowThroughput)='Model Configurator Sup'!$M$4,VLOOKUP(AF131,'Base Stations Parameters'!$B:$AI,4,0),INDEX(_xlpm.colData, _xlpm.rowRegion + _xlpm.rowThroughput))
)</f>
        <v>5000</v>
      </c>
      <c r="AN131" s="106">
        <f ca="1">IF($AK131&lt;=0,0,AI131/(AL131*$AK131))</f>
        <v>5.0435419847328244</v>
      </c>
      <c r="AO131" s="106">
        <f ca="1">IF($AK131&lt;=0,0,AJ131/(AM131*$AK131))</f>
        <v>0.17774467763976023</v>
      </c>
      <c r="AP131" s="130">
        <f>VLOOKUP(AF131,'Base Stations Parameters'!$B:$AH,3,0)</f>
        <v>100000</v>
      </c>
      <c r="AQ131">
        <f ca="1">ROUNDUP(MAX(AI131/AL131-AK131,AJ131/AM131-AK131,0),0)</f>
        <v>265</v>
      </c>
      <c r="AR131" s="130">
        <f ca="1">AQ131*AP131</f>
        <v>26500000</v>
      </c>
    </row>
    <row r="132" spans="2:44" ht="15.75" customHeight="1" thickBot="1" x14ac:dyDescent="0.3">
      <c r="B132" s="69" t="s">
        <v>171</v>
      </c>
      <c r="D132" s="125">
        <v>7.4999999999999997E-2</v>
      </c>
      <c r="E132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)*D132,0)</f>
        <v>122295</v>
      </c>
      <c r="F132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)*D132</f>
        <v>38768.852166214274</v>
      </c>
      <c r="G132" s="105">
        <f>INDEX('Sites per Region'!$A:$Z, MATCH(B132,'Sites per Region'!$B:$B,0), MATCH(C$123,'Sites per Region'!$8:$8, 0))</f>
        <v>65.5</v>
      </c>
      <c r="H132" s="105">
        <f>_xlfn.LET(
_xlpm.data,'Base Stations Profiles'!$B:$E,
_xlpm.colSite,INDEX(_xlpm.data,,1),
_xlpm.colData,INDEX(_xlpm.data,,2),
_xlpm.rowRegion,MATCH(B132,_xlpm.colSite,0),
_xlpm.rowUser,MATCH("Maximum Simultaneously Active Users per Site",_xlfn.DROP(_xlpm.colSite,_xlpm.rowRegion),0),
INDEX(_xlpm.colData,_xlpm.rowRegion+_xlpm.rowUser))</f>
        <v>750</v>
      </c>
      <c r="I132" s="124">
        <f>_xlfn.LET(
    _xlpm.data, 'Base Stations Profiles'!$B:$F,
    _xlpm.colSite, INDEX(_xlpm.data,,1),
    _xlpm.colauto, INDEX(_xlpm.data,,3),
    _xlpm.colData, INDEX(_xlpm.data,,2),
    _xlpm.rowRegion, MATCH(B132, _xlpm.colSite, 0),
    _xlpm.rowThroughput, MATCH("Maximum Throughput for Downlink per Site", _xlfn.DROP(_xlpm.colSite, _xlpm.rowRegion), 0),
    IF(INDEX(_xlpm.colauto, _xlpm.rowRegion + _xlpm.rowThroughput)='Model Configurator Sup'!$M$4,VLOOKUP(B132,'Base Stations Parameters'!$B:$E,4,0),INDEX(_xlpm.colData, _xlpm.rowRegion + _xlpm.rowThroughput))
)</f>
        <v>5000</v>
      </c>
      <c r="J132" s="106">
        <f ca="1">IF($G132&lt;=0,0,E132/(H132*$G132))</f>
        <v>2.4894656488549618</v>
      </c>
      <c r="K132" s="106">
        <f ca="1">IF($G132&lt;=0,0,F132/(I132*$G132))</f>
        <v>0.11837817455332603</v>
      </c>
      <c r="L132" s="130">
        <f>VLOOKUP(B132,'Base Stations Parameters'!$B:$D,3,0)</f>
        <v>95000</v>
      </c>
      <c r="M132">
        <f ca="1">ROUNDUP(MAX(E132/H132-G132,F132/I132-G132,0),0)</f>
        <v>98</v>
      </c>
      <c r="N132" s="130">
        <f ca="1">M132*L132</f>
        <v>9310000</v>
      </c>
      <c r="Q132" s="69" t="s">
        <v>171</v>
      </c>
      <c r="S132" s="125">
        <v>7.4999999999999997E-2</v>
      </c>
      <c r="T132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)*S132,0)</f>
        <v>146775</v>
      </c>
      <c r="U132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)*S132</f>
        <v>42815.60641226521</v>
      </c>
      <c r="V132" s="105">
        <f>INDEX('Sites per Region'!$A:$AO, MATCH(Q132,'Sites per Region'!$B:$B,0), MATCH(R$123,'Sites per Region'!$8:$8, 0))</f>
        <v>65.5</v>
      </c>
      <c r="W132" s="105">
        <f>_xlfn.LET(
_xlpm.data,'Base Stations Profiles'!$B:$T,
_xlpm.colSite,INDEX(_xlpm.data,,1),
_xlpm.colData,INDEX(_xlpm.data,,2),
_xlpm.rowRegion,MATCH(Q132,_xlpm.colSite,0),
_xlpm.rowUser,MATCH("Maximum Simultaneously Active Users per Site",_xlfn.DROP(_xlpm.colSite,_xlpm.rowRegion),0),
INDEX(_xlpm.colData,_xlpm.rowRegion+_xlpm.rowUser))</f>
        <v>750</v>
      </c>
      <c r="X132" s="124">
        <f>_xlfn.LET(
    _xlpm.data, 'Base Stations Profiles'!$B:$U,
    _xlpm.colSite, INDEX(_xlpm.data,,1),
    _xlpm.colauto, INDEX(_xlpm.data,,3),
    _xlpm.colData, INDEX(_xlpm.data,,2),
    _xlpm.rowRegion, MATCH(Q132, _xlpm.colSite, 0),
    _xlpm.rowThroughput, MATCH("Maximum Throughput for Downlink per Site", _xlfn.DROP(_xlpm.colSite, _xlpm.rowRegion), 0),
    IF(INDEX(_xlpm.colauto, _xlpm.rowRegion + _xlpm.rowThroughput)='Model Configurator Sup'!$M$4,VLOOKUP(Q132,'Base Stations Parameters'!$B:$T,4,0),INDEX(_xlpm.colData, _xlpm.rowRegion + _xlpm.rowThroughput))
)</f>
        <v>5000</v>
      </c>
      <c r="Y132" s="106">
        <f ca="1">IF($V132&lt;=0,0,T132/(W132*$V132))</f>
        <v>2.9877862595419846</v>
      </c>
      <c r="Z132" s="106">
        <f ca="1">IF($V132&lt;=0,0,U132/(X132*$V132))</f>
        <v>0.13073467606798536</v>
      </c>
      <c r="AA132" s="130">
        <f>VLOOKUP(Q132,'Base Stations Parameters'!$B:$S,3,0)</f>
        <v>95000</v>
      </c>
      <c r="AB132">
        <f ca="1">ROUNDUP(MAX(T132/W132-V132,U132/X132-V132,0),0)</f>
        <v>131</v>
      </c>
      <c r="AC132" s="130">
        <f ca="1">AB132*AA132</f>
        <v>12445000</v>
      </c>
      <c r="AF132" s="69" t="s">
        <v>171</v>
      </c>
      <c r="AH132" s="125">
        <v>7.4999999999999997E-2</v>
      </c>
      <c r="AI132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)*AH132,0)</f>
        <v>247764</v>
      </c>
      <c r="AJ132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)*AH132</f>
        <v>58211.381927021474</v>
      </c>
      <c r="AK132" s="105">
        <f>INDEX('Sites per Region'!$A:$BD, MATCH(AF132,'Sites per Region'!$B:$B,0), MATCH(AG$123,'Sites per Region'!$8:$8, 0))</f>
        <v>65.5</v>
      </c>
      <c r="AL132" s="105">
        <f>_xlfn.LET(
_xlpm.data,'Base Stations Profiles'!$B:$AI,
_xlpm.colSite,INDEX(_xlpm.data,,1),
_xlpm.colData,INDEX(_xlpm.data,,2),
_xlpm.rowRegion,MATCH(AF132,_xlpm.colSite,0),
_xlpm.rowUser,MATCH("Maximum Simultaneously Active Users per Site",_xlfn.DROP(_xlpm.colSite,_xlpm.rowRegion),0),
INDEX(_xlpm.colData,_xlpm.rowRegion+_xlpm.rowUser))</f>
        <v>750</v>
      </c>
      <c r="AM132" s="124">
        <f>_xlfn.LET(
    _xlpm.data, 'Base Stations Profiles'!$B:$AJ,
    _xlpm.colSite, INDEX(_xlpm.data,,1),
    _xlpm.colauto, INDEX(_xlpm.data,,3),
    _xlpm.colData, INDEX(_xlpm.data,,2),
    _xlpm.rowRegion, MATCH(AF132, _xlpm.colSite, 0),
    _xlpm.rowThroughput, MATCH("Maximum Throughput for Downlink per Site", _xlfn.DROP(_xlpm.colSite, _xlpm.rowRegion), 0),
    IF(INDEX(_xlpm.colauto, _xlpm.rowRegion + _xlpm.rowThroughput)='Model Configurator Sup'!$M$4,VLOOKUP(AF132,'Base Stations Parameters'!$B:$AI,4,0),INDEX(_xlpm.colData, _xlpm.rowRegion + _xlpm.rowThroughput))
)</f>
        <v>5000</v>
      </c>
      <c r="AN132" s="106">
        <f ca="1">IF($AK132&lt;=0,0,AI132/(AL132*$AK132))</f>
        <v>5.0435419847328244</v>
      </c>
      <c r="AO132" s="106">
        <f ca="1">IF($AK132&lt;=0,0,AJ132/(AM132*$AK132))</f>
        <v>0.17774467763976023</v>
      </c>
      <c r="AP132" s="130">
        <f>VLOOKUP(AF132,'Base Stations Parameters'!$B:$AH,3,0)</f>
        <v>95000</v>
      </c>
      <c r="AQ132">
        <f ca="1">ROUNDUP(MAX(AI132/AL132-AK132,AJ132/AM132-AK132,0),0)</f>
        <v>265</v>
      </c>
      <c r="AR132" s="130">
        <f ca="1">AQ132*AP132</f>
        <v>25175000</v>
      </c>
    </row>
    <row r="133" spans="2:44" ht="15.75" customHeight="1" thickBot="1" x14ac:dyDescent="0.3">
      <c r="B133" s="69" t="s">
        <v>248</v>
      </c>
      <c r="D133" s="125">
        <v>0.05</v>
      </c>
      <c r="E133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)*D133,0)</f>
        <v>81530</v>
      </c>
      <c r="F133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)*D133</f>
        <v>25845.901444142852</v>
      </c>
      <c r="G133" s="105">
        <f>INDEX('Sites per Region'!$A:$Z, MATCH(B133,'Sites per Region'!$B:$B,0), MATCH(C$123,'Sites per Region'!$8:$8, 0))</f>
        <v>109</v>
      </c>
      <c r="H133" s="105">
        <f>_xlfn.LET(
_xlpm.data,'Base Stations Profiles'!$B:$E,
_xlpm.colSite,INDEX(_xlpm.data,,1),
_xlpm.colData,INDEX(_xlpm.data,,2),
_xlpm.rowRegion,MATCH(B133,_xlpm.colSite,0),
_xlpm.rowUser,MATCH("Maximum Simultaneously Active Users per Site",_xlfn.DROP(_xlpm.colSite,_xlpm.rowRegion),0),
INDEX(_xlpm.colData,_xlpm.rowRegion+_xlpm.rowUser))</f>
        <v>1500</v>
      </c>
      <c r="I133" s="124">
        <f>_xlfn.LET(
    _xlpm.data, 'Base Stations Profiles'!$B:$F,
    _xlpm.colSite, INDEX(_xlpm.data,,1),
    _xlpm.colauto, INDEX(_xlpm.data,,3),
    _xlpm.colData, INDEX(_xlpm.data,,2),
    _xlpm.rowRegion, MATCH(B133, _xlpm.colSite, 0),
    _xlpm.rowThroughput, MATCH("Maximum Throughput for Downlink per Site", _xlfn.DROP(_xlpm.colSite, _xlpm.rowRegion), 0),
    IF(INDEX(_xlpm.colauto, _xlpm.rowRegion + _xlpm.rowThroughput)='Model Configurator Sup'!$M$4,VLOOKUP(B133,'Base Stations Parameters'!$B:$E,4,0),INDEX(_xlpm.colData, _xlpm.rowRegion + _xlpm.rowThroughput))
)</f>
        <v>2000</v>
      </c>
      <c r="J133" s="106">
        <f ca="1">IF($G133&lt;=0,0,E133/(H133*$G133))</f>
        <v>0.4986544342507645</v>
      </c>
      <c r="K133" s="106">
        <f ca="1">IF($G133&lt;=0,0,F133/(I133*$G133))</f>
        <v>0.1185591809364351</v>
      </c>
      <c r="L133" s="130">
        <f>VLOOKUP(B133,'Base Stations Parameters'!$B:$D,3,0)</f>
        <v>95000</v>
      </c>
      <c r="M133">
        <f ca="1">ROUNDUP(MAX(E133/H133-G133,F133/I133-G133,0),0)</f>
        <v>0</v>
      </c>
      <c r="N133" s="130">
        <f ca="1">M133*L133</f>
        <v>0</v>
      </c>
      <c r="Q133" s="69" t="s">
        <v>248</v>
      </c>
      <c r="S133" s="125">
        <v>0.05</v>
      </c>
      <c r="T133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)*S133,0)</f>
        <v>97850</v>
      </c>
      <c r="U133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)*S133</f>
        <v>28543.737608176809</v>
      </c>
      <c r="V133" s="105">
        <f>INDEX('Sites per Region'!$A:$AO, MATCH(Q133,'Sites per Region'!$B:$B,0), MATCH(R$123,'Sites per Region'!$8:$8, 0))</f>
        <v>109</v>
      </c>
      <c r="W133" s="105">
        <f>_xlfn.LET(
_xlpm.data,'Base Stations Profiles'!$B:$T,
_xlpm.colSite,INDEX(_xlpm.data,,1),
_xlpm.colData,INDEX(_xlpm.data,,2),
_xlpm.rowRegion,MATCH(Q133,_xlpm.colSite,0),
_xlpm.rowUser,MATCH("Maximum Simultaneously Active Users per Site",_xlfn.DROP(_xlpm.colSite,_xlpm.rowRegion),0),
INDEX(_xlpm.colData,_xlpm.rowRegion+_xlpm.rowUser))</f>
        <v>1500</v>
      </c>
      <c r="X133" s="124">
        <f>_xlfn.LET(
    _xlpm.data, 'Base Stations Profiles'!$B:$U,
    _xlpm.colSite, INDEX(_xlpm.data,,1),
    _xlpm.colauto, INDEX(_xlpm.data,,3),
    _xlpm.colData, INDEX(_xlpm.data,,2),
    _xlpm.rowRegion, MATCH(Q133, _xlpm.colSite, 0),
    _xlpm.rowThroughput, MATCH("Maximum Throughput for Downlink per Site", _xlfn.DROP(_xlpm.colSite, _xlpm.rowRegion), 0),
    IF(INDEX(_xlpm.colauto, _xlpm.rowRegion + _xlpm.rowThroughput)='Model Configurator Sup'!$M$4,VLOOKUP(Q133,'Base Stations Parameters'!$B:$T,4,0),INDEX(_xlpm.colData, _xlpm.rowRegion + _xlpm.rowThroughput))
)</f>
        <v>2000</v>
      </c>
      <c r="Y133" s="106">
        <f ca="1">IF($V133&lt;=0,0,T133/(W133*$V133))</f>
        <v>0.59847094801223244</v>
      </c>
      <c r="Z133" s="106">
        <f ca="1">IF($V133&lt;=0,0,U133/(X133*$V133))</f>
        <v>0.1309345761842973</v>
      </c>
      <c r="AA133" s="130">
        <f>VLOOKUP(Q133,'Base Stations Parameters'!$B:$S,3,0)</f>
        <v>95000</v>
      </c>
      <c r="AB133">
        <f ca="1">ROUNDUP(MAX(T133/W133-V133,U133/X133-V133,0),0)</f>
        <v>0</v>
      </c>
      <c r="AC133" s="130">
        <f ca="1">AB133*AA133</f>
        <v>0</v>
      </c>
      <c r="AF133" s="69" t="s">
        <v>248</v>
      </c>
      <c r="AH133" s="125">
        <v>0.05</v>
      </c>
      <c r="AI133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)*AH133,0)</f>
        <v>165176</v>
      </c>
      <c r="AJ133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)*AH133</f>
        <v>38807.587951347654</v>
      </c>
      <c r="AK133" s="105">
        <f>INDEX('Sites per Region'!$A:$BD, MATCH(AF133,'Sites per Region'!$B:$B,0), MATCH(AG$123,'Sites per Region'!$8:$8, 0))</f>
        <v>109</v>
      </c>
      <c r="AL133" s="105">
        <f>_xlfn.LET(
_xlpm.data,'Base Stations Profiles'!$B:$AI,
_xlpm.colSite,INDEX(_xlpm.data,,1),
_xlpm.colData,INDEX(_xlpm.data,,2),
_xlpm.rowRegion,MATCH(AF133,_xlpm.colSite,0),
_xlpm.rowUser,MATCH("Maximum Simultaneously Active Users per Site",_xlfn.DROP(_xlpm.colSite,_xlpm.rowRegion),0),
INDEX(_xlpm.colData,_xlpm.rowRegion+_xlpm.rowUser))</f>
        <v>1500</v>
      </c>
      <c r="AM133" s="124">
        <f>_xlfn.LET(
    _xlpm.data, 'Base Stations Profiles'!$B:$AJ,
    _xlpm.colSite, INDEX(_xlpm.data,,1),
    _xlpm.colauto, INDEX(_xlpm.data,,3),
    _xlpm.colData, INDEX(_xlpm.data,,2),
    _xlpm.rowRegion, MATCH(AF133, _xlpm.colSite, 0),
    _xlpm.rowThroughput, MATCH("Maximum Throughput for Downlink per Site", _xlfn.DROP(_xlpm.colSite, _xlpm.rowRegion), 0),
    IF(INDEX(_xlpm.colauto, _xlpm.rowRegion + _xlpm.rowThroughput)='Model Configurator Sup'!$M$4,VLOOKUP(AF133,'Base Stations Parameters'!$B:$AI,4,0),INDEX(_xlpm.colData, _xlpm.rowRegion + _xlpm.rowThroughput))
)</f>
        <v>2000</v>
      </c>
      <c r="AN133" s="106">
        <f ca="1">IF($AK133&lt;=0,0,AI133/(AL133*$AK133))</f>
        <v>1.0102507645259939</v>
      </c>
      <c r="AO133" s="106">
        <f ca="1">IF($AK133&lt;=0,0,AJ133/(AM133*$AK133))</f>
        <v>0.17801645849242043</v>
      </c>
      <c r="AP133" s="130">
        <f>VLOOKUP(AF133,'Base Stations Parameters'!$B:$AH,3,0)</f>
        <v>95000</v>
      </c>
      <c r="AQ133">
        <f ca="1">ROUNDUP(MAX(AI133/AL133-AK133,AJ133/AM133-AK133,0),0)</f>
        <v>2</v>
      </c>
      <c r="AR133" s="130">
        <f ca="1">AQ133*AP133</f>
        <v>190000</v>
      </c>
    </row>
    <row r="134" spans="2:44" ht="15.75" customHeight="1" thickBot="1" x14ac:dyDescent="0.3">
      <c r="B134" s="69" t="s">
        <v>172</v>
      </c>
      <c r="D134" s="125">
        <v>0.05</v>
      </c>
      <c r="E134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)*D134,0)</f>
        <v>81530</v>
      </c>
      <c r="F134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)*D134</f>
        <v>25845.901444142852</v>
      </c>
      <c r="G134" s="105">
        <f>INDEX('Sites per Region'!$A:$Z, MATCH(B134,'Sites per Region'!$B:$B,0), MATCH(C$123,'Sites per Region'!$8:$8, 0))</f>
        <v>109</v>
      </c>
      <c r="H134" s="105">
        <f>_xlfn.LET(
_xlpm.data,'Base Stations Profiles'!$B:$E,
_xlpm.colSite,INDEX(_xlpm.data,,1),
_xlpm.colData,INDEX(_xlpm.data,,2),
_xlpm.rowRegion,MATCH(B134,_xlpm.colSite,0),
_xlpm.rowUser,MATCH("Maximum Simultaneously Active Users per Site",_xlfn.DROP(_xlpm.colSite,_xlpm.rowRegion),0),
INDEX(_xlpm.colData,_xlpm.rowRegion+_xlpm.rowUser))</f>
        <v>1500</v>
      </c>
      <c r="I134" s="124">
        <f>_xlfn.LET(
    _xlpm.data, 'Base Stations Profiles'!$B:$F,
    _xlpm.colSite, INDEX(_xlpm.data,,1),
    _xlpm.colauto, INDEX(_xlpm.data,,3),
    _xlpm.colData, INDEX(_xlpm.data,,2),
    _xlpm.rowRegion, MATCH(B134, _xlpm.colSite, 0),
    _xlpm.rowThroughput, MATCH("Maximum Throughput for Downlink per Site", _xlfn.DROP(_xlpm.colSite, _xlpm.rowRegion), 0),
    IF(INDEX(_xlpm.colauto, _xlpm.rowRegion + _xlpm.rowThroughput)='Model Configurator Sup'!$M$4,VLOOKUP(B134,'Base Stations Parameters'!$B:$E,4,0),INDEX(_xlpm.colData, _xlpm.rowRegion + _xlpm.rowThroughput))
)</f>
        <v>2000</v>
      </c>
      <c r="J134" s="106">
        <f ca="1">IF($G134&lt;=0,0,E134/(H134*$G134))</f>
        <v>0.4986544342507645</v>
      </c>
      <c r="K134" s="106">
        <f ca="1">IF($G134&lt;=0,0,F134/(I134*$G134))</f>
        <v>0.1185591809364351</v>
      </c>
      <c r="L134" s="130">
        <f>VLOOKUP(B134,'Base Stations Parameters'!$B:$D,3,0)</f>
        <v>80000</v>
      </c>
      <c r="M134">
        <f ca="1">ROUNDUP(MAX(E134/H134-G134,F134/I134-G134,0),0)</f>
        <v>0</v>
      </c>
      <c r="N134" s="130">
        <f ca="1">M134*L134</f>
        <v>0</v>
      </c>
      <c r="Q134" s="69" t="s">
        <v>172</v>
      </c>
      <c r="S134" s="125">
        <v>0.05</v>
      </c>
      <c r="T134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)*S134,0)</f>
        <v>97850</v>
      </c>
      <c r="U134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)*S134</f>
        <v>28543.737608176809</v>
      </c>
      <c r="V134" s="105">
        <f>INDEX('Sites per Region'!$A:$AO, MATCH(Q134,'Sites per Region'!$B:$B,0), MATCH(R$123,'Sites per Region'!$8:$8, 0))</f>
        <v>109</v>
      </c>
      <c r="W134" s="105">
        <f>_xlfn.LET(
_xlpm.data,'Base Stations Profiles'!$B:$T,
_xlpm.colSite,INDEX(_xlpm.data,,1),
_xlpm.colData,INDEX(_xlpm.data,,2),
_xlpm.rowRegion,MATCH(Q134,_xlpm.colSite,0),
_xlpm.rowUser,MATCH("Maximum Simultaneously Active Users per Site",_xlfn.DROP(_xlpm.colSite,_xlpm.rowRegion),0),
INDEX(_xlpm.colData,_xlpm.rowRegion+_xlpm.rowUser))</f>
        <v>1500</v>
      </c>
      <c r="X134" s="124">
        <f>_xlfn.LET(
    _xlpm.data, 'Base Stations Profiles'!$B:$U,
    _xlpm.colSite, INDEX(_xlpm.data,,1),
    _xlpm.colauto, INDEX(_xlpm.data,,3),
    _xlpm.colData, INDEX(_xlpm.data,,2),
    _xlpm.rowRegion, MATCH(Q134, _xlpm.colSite, 0),
    _xlpm.rowThroughput, MATCH("Maximum Throughput for Downlink per Site", _xlfn.DROP(_xlpm.colSite, _xlpm.rowRegion), 0),
    IF(INDEX(_xlpm.colauto, _xlpm.rowRegion + _xlpm.rowThroughput)='Model Configurator Sup'!$M$4,VLOOKUP(Q134,'Base Stations Parameters'!$B:$T,4,0),INDEX(_xlpm.colData, _xlpm.rowRegion + _xlpm.rowThroughput))
)</f>
        <v>2000</v>
      </c>
      <c r="Y134" s="106">
        <f ca="1">IF($V134&lt;=0,0,T134/(W134*$V134))</f>
        <v>0.59847094801223244</v>
      </c>
      <c r="Z134" s="106">
        <f ca="1">IF($V134&lt;=0,0,U134/(X134*$V134))</f>
        <v>0.1309345761842973</v>
      </c>
      <c r="AA134" s="130">
        <f>VLOOKUP(Q134,'Base Stations Parameters'!$B:$S,3,0)</f>
        <v>80000</v>
      </c>
      <c r="AB134">
        <f ca="1">ROUNDUP(MAX(T134/W134-V134,U134/X134-V134,0),0)</f>
        <v>0</v>
      </c>
      <c r="AC134" s="130">
        <f ca="1">AB134*AA134</f>
        <v>0</v>
      </c>
      <c r="AF134" s="69" t="s">
        <v>172</v>
      </c>
      <c r="AH134" s="125">
        <v>0.05</v>
      </c>
      <c r="AI134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)*AH134,0)</f>
        <v>165176</v>
      </c>
      <c r="AJ134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)*AH134</f>
        <v>38807.587951347654</v>
      </c>
      <c r="AK134" s="105">
        <f>INDEX('Sites per Region'!$A:$BD, MATCH(AF134,'Sites per Region'!$B:$B,0), MATCH(AG$123,'Sites per Region'!$8:$8, 0))</f>
        <v>109</v>
      </c>
      <c r="AL134" s="105">
        <f>_xlfn.LET(
_xlpm.data,'Base Stations Profiles'!$B:$AI,
_xlpm.colSite,INDEX(_xlpm.data,,1),
_xlpm.colData,INDEX(_xlpm.data,,2),
_xlpm.rowRegion,MATCH(AF134,_xlpm.colSite,0),
_xlpm.rowUser,MATCH("Maximum Simultaneously Active Users per Site",_xlfn.DROP(_xlpm.colSite,_xlpm.rowRegion),0),
INDEX(_xlpm.colData,_xlpm.rowRegion+_xlpm.rowUser))</f>
        <v>1500</v>
      </c>
      <c r="AM134" s="124">
        <f>_xlfn.LET(
    _xlpm.data, 'Base Stations Profiles'!$B:$AJ,
    _xlpm.colSite, INDEX(_xlpm.data,,1),
    _xlpm.colauto, INDEX(_xlpm.data,,3),
    _xlpm.colData, INDEX(_xlpm.data,,2),
    _xlpm.rowRegion, MATCH(AF134, _xlpm.colSite, 0),
    _xlpm.rowThroughput, MATCH("Maximum Throughput for Downlink per Site", _xlfn.DROP(_xlpm.colSite, _xlpm.rowRegion), 0),
    IF(INDEX(_xlpm.colauto, _xlpm.rowRegion + _xlpm.rowThroughput)='Model Configurator Sup'!$M$4,VLOOKUP(AF134,'Base Stations Parameters'!$B:$AI,4,0),INDEX(_xlpm.colData, _xlpm.rowRegion + _xlpm.rowThroughput))
)</f>
        <v>2000</v>
      </c>
      <c r="AN134" s="106">
        <f ca="1">IF($AK134&lt;=0,0,AI134/(AL134*$AK134))</f>
        <v>1.0102507645259939</v>
      </c>
      <c r="AO134" s="106">
        <f ca="1">IF($AK134&lt;=0,0,AJ134/(AM134*$AK134))</f>
        <v>0.17801645849242043</v>
      </c>
      <c r="AP134" s="130">
        <f>VLOOKUP(AF134,'Base Stations Parameters'!$B:$AH,3,0)</f>
        <v>80000</v>
      </c>
      <c r="AQ134">
        <f ca="1">ROUNDUP(MAX(AI134/AL134-AK134,AJ134/AM134-AK134,0),0)</f>
        <v>2</v>
      </c>
      <c r="AR134" s="130">
        <f ca="1">AQ134*AP134</f>
        <v>160000</v>
      </c>
    </row>
    <row r="135" spans="2:44" ht="15.75" customHeight="1" thickBot="1" x14ac:dyDescent="0.3">
      <c r="B135" s="69" t="s">
        <v>249</v>
      </c>
      <c r="D135" s="125">
        <v>0.05</v>
      </c>
      <c r="E135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)*D135,0)</f>
        <v>81530</v>
      </c>
      <c r="F135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)*D135</f>
        <v>25845.901444142852</v>
      </c>
      <c r="G135" s="105">
        <f>INDEX('Sites per Region'!$A:$Z, MATCH(B135,'Sites per Region'!$B:$B,0), MATCH(C$123,'Sites per Region'!$8:$8, 0))</f>
        <v>153.5</v>
      </c>
      <c r="H135" s="105">
        <f>_xlfn.LET(
_xlpm.data,'Base Stations Profiles'!$B:$E,
_xlpm.colSite,INDEX(_xlpm.data,,1),
_xlpm.colData,INDEX(_xlpm.data,,2),
_xlpm.rowRegion,MATCH(B135,_xlpm.colSite,0),
_xlpm.rowUser,MATCH("Maximum Simultaneously Active Users per Site",_xlfn.DROP(_xlpm.colSite,_xlpm.rowRegion),0),
INDEX(_xlpm.colData,_xlpm.rowRegion+_xlpm.rowUser))</f>
        <v>800</v>
      </c>
      <c r="I135" s="124">
        <f>_xlfn.LET(
    _xlpm.data, 'Base Stations Profiles'!$B:$F,
    _xlpm.colSite, INDEX(_xlpm.data,,1),
    _xlpm.colauto, INDEX(_xlpm.data,,3),
    _xlpm.colData, INDEX(_xlpm.data,,2),
    _xlpm.rowRegion, MATCH(B135, _xlpm.colSite, 0),
    _xlpm.rowThroughput, MATCH("Maximum Throughput for Downlink per Site", _xlfn.DROP(_xlpm.colSite, _xlpm.rowRegion), 0),
    IF(INDEX(_xlpm.colauto, _xlpm.rowRegion + _xlpm.rowThroughput)='Model Configurator Sup'!$M$4,VLOOKUP(B135,'Base Stations Parameters'!$B:$E,4,0),INDEX(_xlpm.colData, _xlpm.rowRegion + _xlpm.rowThroughput))
)</f>
        <v>1200</v>
      </c>
      <c r="J135" s="106">
        <f ca="1">IF($G135&lt;=0,0,E135/(H135*$G135))</f>
        <v>0.66392508143322471</v>
      </c>
      <c r="K135" s="106">
        <f ca="1">IF($G135&lt;=0,0,F135/(I135*$G135))</f>
        <v>0.14031434008763763</v>
      </c>
      <c r="L135" s="130">
        <f>VLOOKUP(B135,'Base Stations Parameters'!$B:$D,3,0)</f>
        <v>80000</v>
      </c>
      <c r="M135">
        <f ca="1">ROUNDUP(MAX(E135/H135-G135,F135/I135-G135,0),0)</f>
        <v>0</v>
      </c>
      <c r="N135" s="130">
        <f ca="1">M135*L135</f>
        <v>0</v>
      </c>
      <c r="Q135" s="69" t="s">
        <v>249</v>
      </c>
      <c r="S135" s="125">
        <v>0.05</v>
      </c>
      <c r="T135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)*S135,0)</f>
        <v>97850</v>
      </c>
      <c r="U135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)*S135</f>
        <v>28543.737608176809</v>
      </c>
      <c r="V135" s="105">
        <f>INDEX('Sites per Region'!$A:$AO, MATCH(Q135,'Sites per Region'!$B:$B,0), MATCH(R$123,'Sites per Region'!$8:$8, 0))</f>
        <v>153.5</v>
      </c>
      <c r="W135" s="105">
        <f>_xlfn.LET(
_xlpm.data,'Base Stations Profiles'!$B:$T,
_xlpm.colSite,INDEX(_xlpm.data,,1),
_xlpm.colData,INDEX(_xlpm.data,,2),
_xlpm.rowRegion,MATCH(Q135,_xlpm.colSite,0),
_xlpm.rowUser,MATCH("Maximum Simultaneously Active Users per Site",_xlfn.DROP(_xlpm.colSite,_xlpm.rowRegion),0),
INDEX(_xlpm.colData,_xlpm.rowRegion+_xlpm.rowUser))</f>
        <v>800</v>
      </c>
      <c r="X135" s="124">
        <f>_xlfn.LET(
    _xlpm.data, 'Base Stations Profiles'!$B:$U,
    _xlpm.colSite, INDEX(_xlpm.data,,1),
    _xlpm.colauto, INDEX(_xlpm.data,,3),
    _xlpm.colData, INDEX(_xlpm.data,,2),
    _xlpm.rowRegion, MATCH(Q135, _xlpm.colSite, 0),
    _xlpm.rowThroughput, MATCH("Maximum Throughput for Downlink per Site", _xlfn.DROP(_xlpm.colSite, _xlpm.rowRegion), 0),
    IF(INDEX(_xlpm.colauto, _xlpm.rowRegion + _xlpm.rowThroughput)='Model Configurator Sup'!$M$4,VLOOKUP(Q135,'Base Stations Parameters'!$B:$T,4,0),INDEX(_xlpm.colData, _xlpm.rowRegion + _xlpm.rowThroughput))
)</f>
        <v>1200</v>
      </c>
      <c r="Y135" s="106">
        <f ca="1">IF($V135&lt;=0,0,T135/(W135*$V135))</f>
        <v>0.79682410423452765</v>
      </c>
      <c r="Z135" s="106">
        <f ca="1">IF($V135&lt;=0,0,U135/(X135*$V135))</f>
        <v>0.15496057333429319</v>
      </c>
      <c r="AA135" s="130">
        <f>VLOOKUP(Q135,'Base Stations Parameters'!$B:$S,3,0)</f>
        <v>80000</v>
      </c>
      <c r="AB135">
        <f ca="1">ROUNDUP(MAX(T135/W135-V135,U135/X135-V135,0),0)</f>
        <v>0</v>
      </c>
      <c r="AC135" s="130">
        <f ca="1">AB135*AA135</f>
        <v>0</v>
      </c>
      <c r="AF135" s="69" t="s">
        <v>249</v>
      </c>
      <c r="AH135" s="125">
        <v>0.05</v>
      </c>
      <c r="AI135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)*AH135,0)</f>
        <v>165176</v>
      </c>
      <c r="AJ135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)*AH135</f>
        <v>38807.587951347654</v>
      </c>
      <c r="AK135" s="105">
        <f>INDEX('Sites per Region'!$A:$BD, MATCH(AF135,'Sites per Region'!$B:$B,0), MATCH(AG$123,'Sites per Region'!$8:$8, 0))</f>
        <v>153.5</v>
      </c>
      <c r="AL135" s="105">
        <f>_xlfn.LET(
_xlpm.data,'Base Stations Profiles'!$B:$AI,
_xlpm.colSite,INDEX(_xlpm.data,,1),
_xlpm.colData,INDEX(_xlpm.data,,2),
_xlpm.rowRegion,MATCH(AF135,_xlpm.colSite,0),
_xlpm.rowUser,MATCH("Maximum Simultaneously Active Users per Site",_xlfn.DROP(_xlpm.colSite,_xlpm.rowRegion),0),
INDEX(_xlpm.colData,_xlpm.rowRegion+_xlpm.rowUser))</f>
        <v>800</v>
      </c>
      <c r="AM135" s="124">
        <f>_xlfn.LET(
    _xlpm.data, 'Base Stations Profiles'!$B:$AJ,
    _xlpm.colSite, INDEX(_xlpm.data,,1),
    _xlpm.colauto, INDEX(_xlpm.data,,3),
    _xlpm.colData, INDEX(_xlpm.data,,2),
    _xlpm.rowRegion, MATCH(AF135, _xlpm.colSite, 0),
    _xlpm.rowThroughput, MATCH("Maximum Throughput for Downlink per Site", _xlfn.DROP(_xlpm.colSite, _xlpm.rowRegion), 0),
    IF(INDEX(_xlpm.colauto, _xlpm.rowRegion + _xlpm.rowThroughput)='Model Configurator Sup'!$M$4,VLOOKUP(AF135,'Base Stations Parameters'!$B:$AI,4,0),INDEX(_xlpm.colData, _xlpm.rowRegion + _xlpm.rowThroughput))
)</f>
        <v>1200</v>
      </c>
      <c r="AN135" s="106">
        <f ca="1">IF($AK135&lt;=0,0,AI135/(AL135*$AK135))</f>
        <v>1.3450814332247556</v>
      </c>
      <c r="AO135" s="106">
        <f ca="1">IF($AK135&lt;=0,0,AJ135/(AM135*$AK135))</f>
        <v>0.2106818021245801</v>
      </c>
      <c r="AP135" s="130">
        <f>VLOOKUP(AF135,'Base Stations Parameters'!$B:$AH,3,0)</f>
        <v>80000</v>
      </c>
      <c r="AQ135">
        <f ca="1">ROUNDUP(MAX(AI135/AL135-AK135,AJ135/AM135-AK135,0),0)</f>
        <v>53</v>
      </c>
      <c r="AR135" s="130">
        <f ca="1">AQ135*AP135</f>
        <v>4240000</v>
      </c>
    </row>
    <row r="136" spans="2:44" ht="15.75" customHeight="1" thickBot="1" x14ac:dyDescent="0.3">
      <c r="B136" s="69" t="s">
        <v>173</v>
      </c>
      <c r="D136" s="125">
        <v>0.05</v>
      </c>
      <c r="E136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)*D136,0)</f>
        <v>81530</v>
      </c>
      <c r="F136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)*D136</f>
        <v>25845.901444142852</v>
      </c>
      <c r="G136" s="105">
        <f>INDEX('Sites per Region'!$A:$Z, MATCH(B136,'Sites per Region'!$B:$B,0), MATCH(C$123,'Sites per Region'!$8:$8, 0))</f>
        <v>153.5</v>
      </c>
      <c r="H136" s="105">
        <f>_xlfn.LET(
_xlpm.data,'Base Stations Profiles'!$B:$E,
_xlpm.colSite,INDEX(_xlpm.data,,1),
_xlpm.colData,INDEX(_xlpm.data,,2),
_xlpm.rowRegion,MATCH(B136,_xlpm.colSite,0),
_xlpm.rowUser,MATCH("Maximum Simultaneously Active Users per Site",_xlfn.DROP(_xlpm.colSite,_xlpm.rowRegion),0),
INDEX(_xlpm.colData,_xlpm.rowRegion+_xlpm.rowUser))</f>
        <v>800</v>
      </c>
      <c r="I136" s="124">
        <f>_xlfn.LET(
    _xlpm.data, 'Base Stations Profiles'!$B:$F,
    _xlpm.colSite, INDEX(_xlpm.data,,1),
    _xlpm.colauto, INDEX(_xlpm.data,,3),
    _xlpm.colData, INDEX(_xlpm.data,,2),
    _xlpm.rowRegion, MATCH(B136, _xlpm.colSite, 0),
    _xlpm.rowThroughput, MATCH("Maximum Throughput for Downlink per Site", _xlfn.DROP(_xlpm.colSite, _xlpm.rowRegion), 0),
    IF(INDEX(_xlpm.colauto, _xlpm.rowRegion + _xlpm.rowThroughput)='Model Configurator Sup'!$M$4,VLOOKUP(B136,'Base Stations Parameters'!$B:$E,4,0),INDEX(_xlpm.colData, _xlpm.rowRegion + _xlpm.rowThroughput))
)</f>
        <v>1200</v>
      </c>
      <c r="J136" s="106">
        <f ca="1">IF($G136&lt;=0,0,E136/(H136*$G136))</f>
        <v>0.66392508143322471</v>
      </c>
      <c r="K136" s="106">
        <f ca="1">IF($G136&lt;=0,0,F136/(I136*$G136))</f>
        <v>0.14031434008763763</v>
      </c>
      <c r="L136" s="130">
        <f>VLOOKUP(B136,'Base Stations Parameters'!$B:$D,3,0)</f>
        <v>60000</v>
      </c>
      <c r="M136">
        <f ca="1">ROUNDUP(MAX(E136/H136-G136,F136/I136-G136,0),0)</f>
        <v>0</v>
      </c>
      <c r="N136" s="130">
        <f ca="1">M136*L136</f>
        <v>0</v>
      </c>
      <c r="Q136" s="69" t="s">
        <v>173</v>
      </c>
      <c r="S136" s="125">
        <v>0.05</v>
      </c>
      <c r="T136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)*S136,0)</f>
        <v>97850</v>
      </c>
      <c r="U136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)*S136</f>
        <v>28543.737608176809</v>
      </c>
      <c r="V136" s="105">
        <f>INDEX('Sites per Region'!$A:$AO, MATCH(Q136,'Sites per Region'!$B:$B,0), MATCH(R$123,'Sites per Region'!$8:$8, 0))</f>
        <v>153.5</v>
      </c>
      <c r="W136" s="105">
        <f>_xlfn.LET(
_xlpm.data,'Base Stations Profiles'!$B:$T,
_xlpm.colSite,INDEX(_xlpm.data,,1),
_xlpm.colData,INDEX(_xlpm.data,,2),
_xlpm.rowRegion,MATCH(Q136,_xlpm.colSite,0),
_xlpm.rowUser,MATCH("Maximum Simultaneously Active Users per Site",_xlfn.DROP(_xlpm.colSite,_xlpm.rowRegion),0),
INDEX(_xlpm.colData,_xlpm.rowRegion+_xlpm.rowUser))</f>
        <v>800</v>
      </c>
      <c r="X136" s="124">
        <f>_xlfn.LET(
    _xlpm.data, 'Base Stations Profiles'!$B:$U,
    _xlpm.colSite, INDEX(_xlpm.data,,1),
    _xlpm.colauto, INDEX(_xlpm.data,,3),
    _xlpm.colData, INDEX(_xlpm.data,,2),
    _xlpm.rowRegion, MATCH(Q136, _xlpm.colSite, 0),
    _xlpm.rowThroughput, MATCH("Maximum Throughput for Downlink per Site", _xlfn.DROP(_xlpm.colSite, _xlpm.rowRegion), 0),
    IF(INDEX(_xlpm.colauto, _xlpm.rowRegion + _xlpm.rowThroughput)='Model Configurator Sup'!$M$4,VLOOKUP(Q136,'Base Stations Parameters'!$B:$T,4,0),INDEX(_xlpm.colData, _xlpm.rowRegion + _xlpm.rowThroughput))
)</f>
        <v>1200</v>
      </c>
      <c r="Y136" s="106">
        <f ca="1">IF($V136&lt;=0,0,T136/(W136*$V136))</f>
        <v>0.79682410423452765</v>
      </c>
      <c r="Z136" s="106">
        <f ca="1">IF($V136&lt;=0,0,U136/(X136*$V136))</f>
        <v>0.15496057333429319</v>
      </c>
      <c r="AA136" s="130">
        <f>VLOOKUP(Q136,'Base Stations Parameters'!$B:$S,3,0)</f>
        <v>60000</v>
      </c>
      <c r="AB136">
        <f ca="1">ROUNDUP(MAX(T136/W136-V136,U136/X136-V136,0),0)</f>
        <v>0</v>
      </c>
      <c r="AC136" s="130">
        <f ca="1">AB136*AA136</f>
        <v>0</v>
      </c>
      <c r="AF136" s="69" t="s">
        <v>173</v>
      </c>
      <c r="AH136" s="125">
        <v>0.05</v>
      </c>
      <c r="AI136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)*AH136,0)</f>
        <v>165176</v>
      </c>
      <c r="AJ136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)*AH136</f>
        <v>38807.587951347654</v>
      </c>
      <c r="AK136" s="105">
        <f>INDEX('Sites per Region'!$A:$BD, MATCH(AF136,'Sites per Region'!$B:$B,0), MATCH(AG$123,'Sites per Region'!$8:$8, 0))</f>
        <v>153.5</v>
      </c>
      <c r="AL136" s="105">
        <f>_xlfn.LET(
_xlpm.data,'Base Stations Profiles'!$B:$AI,
_xlpm.colSite,INDEX(_xlpm.data,,1),
_xlpm.colData,INDEX(_xlpm.data,,2),
_xlpm.rowRegion,MATCH(AF136,_xlpm.colSite,0),
_xlpm.rowUser,MATCH("Maximum Simultaneously Active Users per Site",_xlfn.DROP(_xlpm.colSite,_xlpm.rowRegion),0),
INDEX(_xlpm.colData,_xlpm.rowRegion+_xlpm.rowUser))</f>
        <v>800</v>
      </c>
      <c r="AM136" s="124">
        <f>_xlfn.LET(
    _xlpm.data, 'Base Stations Profiles'!$B:$AJ,
    _xlpm.colSite, INDEX(_xlpm.data,,1),
    _xlpm.colauto, INDEX(_xlpm.data,,3),
    _xlpm.colData, INDEX(_xlpm.data,,2),
    _xlpm.rowRegion, MATCH(AF136, _xlpm.colSite, 0),
    _xlpm.rowThroughput, MATCH("Maximum Throughput for Downlink per Site", _xlfn.DROP(_xlpm.colSite, _xlpm.rowRegion), 0),
    IF(INDEX(_xlpm.colauto, _xlpm.rowRegion + _xlpm.rowThroughput)='Model Configurator Sup'!$M$4,VLOOKUP(AF136,'Base Stations Parameters'!$B:$AI,4,0),INDEX(_xlpm.colData, _xlpm.rowRegion + _xlpm.rowThroughput))
)</f>
        <v>1200</v>
      </c>
      <c r="AN136" s="106">
        <f ca="1">IF($AK136&lt;=0,0,AI136/(AL136*$AK136))</f>
        <v>1.3450814332247556</v>
      </c>
      <c r="AO136" s="106">
        <f ca="1">IF($AK136&lt;=0,0,AJ136/(AM136*$AK136))</f>
        <v>0.2106818021245801</v>
      </c>
      <c r="AP136" s="130">
        <f>VLOOKUP(AF136,'Base Stations Parameters'!$B:$AH,3,0)</f>
        <v>60000</v>
      </c>
      <c r="AQ136">
        <f ca="1">ROUNDUP(MAX(AI136/AL136-AK136,AJ136/AM136-AK136,0),0)</f>
        <v>53</v>
      </c>
      <c r="AR136" s="130">
        <f ca="1">AQ136*AP136</f>
        <v>3180000</v>
      </c>
    </row>
    <row r="137" spans="2:44" ht="15.75" customHeight="1" thickBot="1" x14ac:dyDescent="0.3">
      <c r="B137" s="69" t="s">
        <v>250</v>
      </c>
      <c r="D137" s="125">
        <v>2.5000000000000001E-2</v>
      </c>
      <c r="E137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)*D137,0)</f>
        <v>40765</v>
      </c>
      <c r="F137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)*D137</f>
        <v>12922.950722071426</v>
      </c>
      <c r="G137" s="105">
        <f>INDEX('Sites per Region'!$A:$Z, MATCH(B137,'Sites per Region'!$B:$B,0), MATCH(C$123,'Sites per Region'!$8:$8, 0))</f>
        <v>127.5</v>
      </c>
      <c r="H137" s="105">
        <f>_xlfn.LET(
_xlpm.data,'Base Stations Profiles'!$B:$E,
_xlpm.colSite,INDEX(_xlpm.data,,1),
_xlpm.colData,INDEX(_xlpm.data,,2),
_xlpm.rowRegion,MATCH(B137,_xlpm.colSite,0),
_xlpm.rowUser,MATCH("Maximum Simultaneously Active Users per Site",_xlfn.DROP(_xlpm.colSite,_xlpm.rowRegion),0),
INDEX(_xlpm.colData,_xlpm.rowRegion+_xlpm.rowUser))</f>
        <v>400</v>
      </c>
      <c r="I137" s="124">
        <f>_xlfn.LET(
    _xlpm.data, 'Base Stations Profiles'!$B:$F,
    _xlpm.colSite, INDEX(_xlpm.data,,1),
    _xlpm.colauto, INDEX(_xlpm.data,,3),
    _xlpm.colData, INDEX(_xlpm.data,,2),
    _xlpm.rowRegion, MATCH(B137, _xlpm.colSite, 0),
    _xlpm.rowThroughput, MATCH("Maximum Throughput for Downlink per Site", _xlfn.DROP(_xlpm.colSite, _xlpm.rowRegion), 0),
    IF(INDEX(_xlpm.colauto, _xlpm.rowRegion + _xlpm.rowThroughput)='Model Configurator Sup'!$M$4,VLOOKUP(B137,'Base Stations Parameters'!$B:$E,4,0),INDEX(_xlpm.colData, _xlpm.rowRegion + _xlpm.rowThroughput))
)</f>
        <v>300</v>
      </c>
      <c r="J137" s="106">
        <f ca="1">IF($G137&lt;=0,0,E137/(H137*$G137))</f>
        <v>0.79931372549019608</v>
      </c>
      <c r="K137" s="106">
        <f ca="1">IF($G137&lt;=0,0,F137/(I137*$G137))</f>
        <v>0.33785492083846863</v>
      </c>
      <c r="L137" s="130">
        <f>VLOOKUP(B137,'Base Stations Parameters'!$B:$D,3,0)</f>
        <v>60000</v>
      </c>
      <c r="M137">
        <f ca="1">ROUNDUP(MAX(E137/H137-G137,F137/I137-G137,0),0)</f>
        <v>0</v>
      </c>
      <c r="N137" s="130">
        <f ca="1">M137*L137</f>
        <v>0</v>
      </c>
      <c r="Q137" s="69" t="s">
        <v>250</v>
      </c>
      <c r="S137" s="125">
        <v>2.5000000000000001E-2</v>
      </c>
      <c r="T137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)*S137,0)</f>
        <v>48925</v>
      </c>
      <c r="U137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)*S137</f>
        <v>14271.868804088404</v>
      </c>
      <c r="V137" s="105">
        <f>INDEX('Sites per Region'!$A:$AO, MATCH(Q137,'Sites per Region'!$B:$B,0), MATCH(R$123,'Sites per Region'!$8:$8, 0))</f>
        <v>127.5</v>
      </c>
      <c r="W137" s="105">
        <f>_xlfn.LET(
_xlpm.data,'Base Stations Profiles'!$B:$T,
_xlpm.colSite,INDEX(_xlpm.data,,1),
_xlpm.colData,INDEX(_xlpm.data,,2),
_xlpm.rowRegion,MATCH(Q137,_xlpm.colSite,0),
_xlpm.rowUser,MATCH("Maximum Simultaneously Active Users per Site",_xlfn.DROP(_xlpm.colSite,_xlpm.rowRegion),0),
INDEX(_xlpm.colData,_xlpm.rowRegion+_xlpm.rowUser))</f>
        <v>400</v>
      </c>
      <c r="X137" s="124">
        <f>_xlfn.LET(
    _xlpm.data, 'Base Stations Profiles'!$B:$U,
    _xlpm.colSite, INDEX(_xlpm.data,,1),
    _xlpm.colauto, INDEX(_xlpm.data,,3),
    _xlpm.colData, INDEX(_xlpm.data,,2),
    _xlpm.rowRegion, MATCH(Q137, _xlpm.colSite, 0),
    _xlpm.rowThroughput, MATCH("Maximum Throughput for Downlink per Site", _xlfn.DROP(_xlpm.colSite, _xlpm.rowRegion), 0),
    IF(INDEX(_xlpm.colauto, _xlpm.rowRegion + _xlpm.rowThroughput)='Model Configurator Sup'!$M$4,VLOOKUP(Q137,'Base Stations Parameters'!$B:$T,4,0),INDEX(_xlpm.colData, _xlpm.rowRegion + _xlpm.rowThroughput))
)</f>
        <v>300</v>
      </c>
      <c r="Y137" s="106">
        <f ca="1">IF($V137&lt;=0,0,T137/(W137*$V137))</f>
        <v>0.95931372549019611</v>
      </c>
      <c r="Z137" s="106">
        <f ca="1">IF($V137&lt;=0,0,U137/(X137*$V137))</f>
        <v>0.37312075304806286</v>
      </c>
      <c r="AA137" s="130">
        <f>VLOOKUP(Q137,'Base Stations Parameters'!$B:$S,3,0)</f>
        <v>60000</v>
      </c>
      <c r="AB137">
        <f ca="1">ROUNDUP(MAX(T137/W137-V137,U137/X137-V137,0),0)</f>
        <v>0</v>
      </c>
      <c r="AC137" s="130">
        <f ca="1">AB137*AA137</f>
        <v>0</v>
      </c>
      <c r="AF137" s="69" t="s">
        <v>250</v>
      </c>
      <c r="AH137" s="125">
        <v>2.5000000000000001E-2</v>
      </c>
      <c r="AI137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)*AH137,0)</f>
        <v>82588</v>
      </c>
      <c r="AJ137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)*AH137</f>
        <v>19403.793975673827</v>
      </c>
      <c r="AK137" s="105">
        <f>INDEX('Sites per Region'!$A:$BD, MATCH(AF137,'Sites per Region'!$B:$B,0), MATCH(AG$123,'Sites per Region'!$8:$8, 0))</f>
        <v>127.5</v>
      </c>
      <c r="AL137" s="105">
        <f>_xlfn.LET(
_xlpm.data,'Base Stations Profiles'!$B:$AI,
_xlpm.colSite,INDEX(_xlpm.data,,1),
_xlpm.colData,INDEX(_xlpm.data,,2),
_xlpm.rowRegion,MATCH(AF137,_xlpm.colSite,0),
_xlpm.rowUser,MATCH("Maximum Simultaneously Active Users per Site",_xlfn.DROP(_xlpm.colSite,_xlpm.rowRegion),0),
INDEX(_xlpm.colData,_xlpm.rowRegion+_xlpm.rowUser))</f>
        <v>400</v>
      </c>
      <c r="AM137" s="124">
        <f>_xlfn.LET(
    _xlpm.data, 'Base Stations Profiles'!$B:$AJ,
    _xlpm.colSite, INDEX(_xlpm.data,,1),
    _xlpm.colauto, INDEX(_xlpm.data,,3),
    _xlpm.colData, INDEX(_xlpm.data,,2),
    _xlpm.rowRegion, MATCH(AF137, _xlpm.colSite, 0),
    _xlpm.rowThroughput, MATCH("Maximum Throughput for Downlink per Site", _xlfn.DROP(_xlpm.colSite, _xlpm.rowRegion), 0),
    IF(INDEX(_xlpm.colauto, _xlpm.rowRegion + _xlpm.rowThroughput)='Model Configurator Sup'!$M$4,VLOOKUP(AF137,'Base Stations Parameters'!$B:$AI,4,0),INDEX(_xlpm.colData, _xlpm.rowRegion + _xlpm.rowThroughput))
)</f>
        <v>300</v>
      </c>
      <c r="AN137" s="106">
        <f ca="1">IF($AK137&lt;=0,0,AI137/(AL137*$AK137))</f>
        <v>1.6193725490196078</v>
      </c>
      <c r="AO137" s="106">
        <f ca="1">IF($AK137&lt;=0,0,AJ137/(AM137*$AK137))</f>
        <v>0.50728873139016539</v>
      </c>
      <c r="AP137" s="130">
        <f>VLOOKUP(AF137,'Base Stations Parameters'!$B:$AH,3,0)</f>
        <v>60000</v>
      </c>
      <c r="AQ137">
        <f ca="1">ROUNDUP(MAX(AI137/AL137-AK137,AJ137/AM137-AK137,0),0)</f>
        <v>79</v>
      </c>
      <c r="AR137" s="130">
        <f ca="1">AQ137*AP137</f>
        <v>4740000</v>
      </c>
    </row>
    <row r="138" spans="2:44" ht="15.75" customHeight="1" thickBot="1" x14ac:dyDescent="0.3">
      <c r="B138" s="69" t="s">
        <v>174</v>
      </c>
      <c r="D138" s="125">
        <v>2.5000000000000001E-2</v>
      </c>
      <c r="E138" s="123">
        <f ca="1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)*D138,0)</f>
        <v>40765</v>
      </c>
      <c r="F138" s="122">
        <f ca="1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)*D138</f>
        <v>12922.950722071426</v>
      </c>
      <c r="G138" s="105">
        <f>INDEX('Sites per Region'!$A:$Z, MATCH(B138,'Sites per Region'!$B:$B,0), MATCH(C$123,'Sites per Region'!$8:$8, 0))</f>
        <v>127.5</v>
      </c>
      <c r="H138" s="105">
        <f>_xlfn.LET(
_xlpm.data,'Base Stations Profiles'!$B:$E,
_xlpm.colSite,INDEX(_xlpm.data,,1),
_xlpm.colData,INDEX(_xlpm.data,,2),
_xlpm.rowRegion,MATCH(B138,_xlpm.colSite,0),
_xlpm.rowUser,MATCH("Maximum Simultaneously Active Users per Site",_xlfn.DROP(_xlpm.colSite,_xlpm.rowRegion),0),
INDEX(_xlpm.colData,_xlpm.rowRegion+_xlpm.rowUser))</f>
        <v>400</v>
      </c>
      <c r="I138" s="124">
        <f>_xlfn.LET(
    _xlpm.data, 'Base Stations Profiles'!$B:$F,
    _xlpm.colSite, INDEX(_xlpm.data,,1),
    _xlpm.colauto, INDEX(_xlpm.data,,3),
    _xlpm.colData, INDEX(_xlpm.data,,2),
    _xlpm.rowRegion, MATCH(B138, _xlpm.colSite, 0),
    _xlpm.rowThroughput, MATCH("Maximum Throughput for Downlink per Site", _xlfn.DROP(_xlpm.colSite, _xlpm.rowRegion), 0),
    IF(INDEX(_xlpm.colauto, _xlpm.rowRegion + _xlpm.rowThroughput)='Model Configurator Sup'!$M$4,VLOOKUP(B138,'Base Stations Parameters'!$B:$E,4,0),INDEX(_xlpm.colData, _xlpm.rowRegion + _xlpm.rowThroughput))
)</f>
        <v>300</v>
      </c>
      <c r="J138" s="106">
        <f ca="1">IF($G138&lt;=0,0,E138/(H138*$G138))</f>
        <v>0.79931372549019608</v>
      </c>
      <c r="K138" s="106">
        <f ca="1">IF($G138&lt;=0,0,F138/(I138*$G138))</f>
        <v>0.33785492083846863</v>
      </c>
      <c r="L138" s="130">
        <f>VLOOKUP(B138,'Base Stations Parameters'!$B:$D,3,0)</f>
        <v>0</v>
      </c>
      <c r="M138">
        <f ca="1">ROUNDUP(MAX(E138/H138-G138,F138/I138-G138,0),0)</f>
        <v>0</v>
      </c>
      <c r="N138" s="130">
        <f ca="1">M138*L138</f>
        <v>0</v>
      </c>
      <c r="Q138" s="69" t="s">
        <v>174</v>
      </c>
      <c r="S138" s="125">
        <v>2.5000000000000001E-2</v>
      </c>
      <c r="T138" s="123">
        <f ca="1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)*S138,0)</f>
        <v>48925</v>
      </c>
      <c r="U138" s="122">
        <f ca="1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)*S138</f>
        <v>14271.868804088404</v>
      </c>
      <c r="V138" s="105">
        <f>INDEX('Sites per Region'!$A:$AO, MATCH(Q138,'Sites per Region'!$B:$B,0), MATCH(R$123,'Sites per Region'!$8:$8, 0))</f>
        <v>127.5</v>
      </c>
      <c r="W138" s="105">
        <f>_xlfn.LET(
_xlpm.data,'Base Stations Profiles'!$B:$T,
_xlpm.colSite,INDEX(_xlpm.data,,1),
_xlpm.colData,INDEX(_xlpm.data,,2),
_xlpm.rowRegion,MATCH(Q138,_xlpm.colSite,0),
_xlpm.rowUser,MATCH("Maximum Simultaneously Active Users per Site",_xlfn.DROP(_xlpm.colSite,_xlpm.rowRegion),0),
INDEX(_xlpm.colData,_xlpm.rowRegion+_xlpm.rowUser))</f>
        <v>400</v>
      </c>
      <c r="X138" s="124">
        <f>_xlfn.LET(
    _xlpm.data, 'Base Stations Profiles'!$B:$U,
    _xlpm.colSite, INDEX(_xlpm.data,,1),
    _xlpm.colauto, INDEX(_xlpm.data,,3),
    _xlpm.colData, INDEX(_xlpm.data,,2),
    _xlpm.rowRegion, MATCH(Q138, _xlpm.colSite, 0),
    _xlpm.rowThroughput, MATCH("Maximum Throughput for Downlink per Site", _xlfn.DROP(_xlpm.colSite, _xlpm.rowRegion), 0),
    IF(INDEX(_xlpm.colauto, _xlpm.rowRegion + _xlpm.rowThroughput)='Model Configurator Sup'!$M$4,VLOOKUP(Q138,'Base Stations Parameters'!$B:$T,4,0),INDEX(_xlpm.colData, _xlpm.rowRegion + _xlpm.rowThroughput))
)</f>
        <v>300</v>
      </c>
      <c r="Y138" s="106">
        <f ca="1">IF($V138&lt;=0,0,T138/(W138*$V138))</f>
        <v>0.95931372549019611</v>
      </c>
      <c r="Z138" s="106">
        <f ca="1">IF($V138&lt;=0,0,U138/(X138*$V138))</f>
        <v>0.37312075304806286</v>
      </c>
      <c r="AA138" s="130">
        <f>VLOOKUP(Q138,'Base Stations Parameters'!$B:$S,3,0)</f>
        <v>0</v>
      </c>
      <c r="AB138">
        <f ca="1">ROUNDUP(MAX(T138/W138-V138,U138/X138-V138,0),0)</f>
        <v>0</v>
      </c>
      <c r="AC138" s="130">
        <f ca="1">AB138*AA138</f>
        <v>0</v>
      </c>
      <c r="AF138" s="69" t="s">
        <v>174</v>
      </c>
      <c r="AH138" s="125">
        <v>2.5000000000000001E-2</v>
      </c>
      <c r="AI138" s="123">
        <f ca="1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)*AH138,0)</f>
        <v>82588</v>
      </c>
      <c r="AJ138" s="122">
        <f ca="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)*AH138</f>
        <v>19403.793975673827</v>
      </c>
      <c r="AK138" s="105">
        <f>INDEX('Sites per Region'!$A:$BD, MATCH(AF138,'Sites per Region'!$B:$B,0), MATCH(AG$123,'Sites per Region'!$8:$8, 0))</f>
        <v>127.5</v>
      </c>
      <c r="AL138" s="105">
        <f>_xlfn.LET(
_xlpm.data,'Base Stations Profiles'!$B:$AI,
_xlpm.colSite,INDEX(_xlpm.data,,1),
_xlpm.colData,INDEX(_xlpm.data,,2),
_xlpm.rowRegion,MATCH(AF138,_xlpm.colSite,0),
_xlpm.rowUser,MATCH("Maximum Simultaneously Active Users per Site",_xlfn.DROP(_xlpm.colSite,_xlpm.rowRegion),0),
INDEX(_xlpm.colData,_xlpm.rowRegion+_xlpm.rowUser))</f>
        <v>400</v>
      </c>
      <c r="AM138" s="124">
        <f>_xlfn.LET(
    _xlpm.data, 'Base Stations Profiles'!$B:$AJ,
    _xlpm.colSite, INDEX(_xlpm.data,,1),
    _xlpm.colauto, INDEX(_xlpm.data,,3),
    _xlpm.colData, INDEX(_xlpm.data,,2),
    _xlpm.rowRegion, MATCH(AF138, _xlpm.colSite, 0),
    _xlpm.rowThroughput, MATCH("Maximum Throughput for Downlink per Site", _xlfn.DROP(_xlpm.colSite, _xlpm.rowRegion), 0),
    IF(INDEX(_xlpm.colauto, _xlpm.rowRegion + _xlpm.rowThroughput)='Model Configurator Sup'!$M$4,VLOOKUP(AF138,'Base Stations Parameters'!$B:$AI,4,0),INDEX(_xlpm.colData, _xlpm.rowRegion + _xlpm.rowThroughput))
)</f>
        <v>300</v>
      </c>
      <c r="AN138" s="106">
        <f ca="1">IF($AK138&lt;=0,0,AI138/(AL138*$AK138))</f>
        <v>1.6193725490196078</v>
      </c>
      <c r="AO138" s="106">
        <f ca="1">IF($AK138&lt;=0,0,AJ138/(AM138*$AK138))</f>
        <v>0.50728873139016539</v>
      </c>
      <c r="AP138" s="130">
        <f>VLOOKUP(AF138,'Base Stations Parameters'!$B:$AH,3,0)</f>
        <v>0</v>
      </c>
      <c r="AQ138">
        <f ca="1">ROUNDUP(MAX(AI138/AL138-AK138,AJ138/AM138-AK138,0),0)</f>
        <v>79</v>
      </c>
      <c r="AR138" s="130">
        <f ca="1">AQ138*AP138</f>
        <v>0</v>
      </c>
    </row>
    <row r="139" spans="2:44" ht="15" customHeight="1" x14ac:dyDescent="0.25">
      <c r="B139" s="116" t="s">
        <v>182</v>
      </c>
      <c r="D139" s="126">
        <f>SUM(D127:D138)</f>
        <v>1</v>
      </c>
      <c r="E139" s="127">
        <f ca="1">SUM(E127:E138)</f>
        <v>1630604</v>
      </c>
      <c r="F139" s="128">
        <f ca="1">SUM(F127:F138)</f>
        <v>516918.02888285695</v>
      </c>
      <c r="H139" s="113"/>
      <c r="I139" s="115"/>
      <c r="L139" s="115"/>
      <c r="M139" s="129">
        <f ca="1">SUM(M127:M138)</f>
        <v>216</v>
      </c>
      <c r="N139" s="131">
        <f ca="1">SUM(N127:N138)</f>
        <v>21560000</v>
      </c>
      <c r="Q139" s="116" t="s">
        <v>182</v>
      </c>
      <c r="S139" s="126">
        <f>SUM(S127:S138)</f>
        <v>1</v>
      </c>
      <c r="T139" s="127">
        <f ca="1">SUM(T127:T138)</f>
        <v>1957004</v>
      </c>
      <c r="U139" s="128">
        <f ca="1">SUM(U127:U138)</f>
        <v>570874.75216353626</v>
      </c>
      <c r="W139" s="113"/>
      <c r="X139" s="115"/>
      <c r="AA139" s="115"/>
      <c r="AB139" s="129">
        <f ca="1">SUM(AB127:AB138)</f>
        <v>346</v>
      </c>
      <c r="AC139" s="131">
        <f ca="1">SUM(AC127:AC138)</f>
        <v>35835000</v>
      </c>
      <c r="AF139" s="116" t="s">
        <v>182</v>
      </c>
      <c r="AH139" s="126">
        <f>SUM(AH127:AH138)</f>
        <v>1</v>
      </c>
      <c r="AI139" s="127">
        <f ca="1">SUM(AI127:AI138)</f>
        <v>3303520</v>
      </c>
      <c r="AJ139" s="128">
        <f ca="1">SUM(AJ127:AJ138)</f>
        <v>776151.75902695325</v>
      </c>
      <c r="AL139" s="113"/>
      <c r="AM139" s="115"/>
      <c r="AP139" s="115"/>
      <c r="AQ139" s="129">
        <f ca="1">SUM(AQ127:AQ138)</f>
        <v>1226</v>
      </c>
      <c r="AR139" s="131">
        <f ca="1">SUM(AR127:AR138)</f>
        <v>119390000</v>
      </c>
    </row>
    <row r="141" spans="2:44" ht="15" customHeight="1" x14ac:dyDescent="0.25">
      <c r="C141">
        <v>2023</v>
      </c>
      <c r="R141">
        <v>2025</v>
      </c>
      <c r="AG141">
        <v>2030</v>
      </c>
    </row>
    <row r="142" spans="2:44" ht="20.100000000000001" customHeight="1" x14ac:dyDescent="0.25">
      <c r="C142" s="102" t="s">
        <v>17</v>
      </c>
      <c r="R142" s="102" t="s">
        <v>17</v>
      </c>
      <c r="AG142" s="102" t="s">
        <v>17</v>
      </c>
    </row>
    <row r="143" spans="2:44" ht="15" customHeight="1" thickBot="1" x14ac:dyDescent="0.3"/>
    <row r="144" spans="2:44" ht="15" customHeight="1" thickBot="1" x14ac:dyDescent="0.3">
      <c r="B144" s="138" t="s">
        <v>143</v>
      </c>
      <c r="C144" s="117"/>
      <c r="D144" s="152" t="s">
        <v>203</v>
      </c>
      <c r="E144" s="142" t="s">
        <v>218</v>
      </c>
      <c r="F144" s="144"/>
      <c r="G144" s="152" t="s">
        <v>215</v>
      </c>
      <c r="H144" s="142" t="s">
        <v>217</v>
      </c>
      <c r="I144" s="144"/>
      <c r="J144" s="142" t="s">
        <v>184</v>
      </c>
      <c r="K144" s="144"/>
      <c r="L144" s="142" t="s">
        <v>131</v>
      </c>
      <c r="M144" s="143"/>
      <c r="N144" s="144"/>
      <c r="Q144" s="138" t="s">
        <v>143</v>
      </c>
      <c r="R144" s="117"/>
      <c r="S144" s="152" t="s">
        <v>203</v>
      </c>
      <c r="T144" s="142" t="s">
        <v>218</v>
      </c>
      <c r="U144" s="144"/>
      <c r="V144" s="152" t="s">
        <v>215</v>
      </c>
      <c r="W144" s="142" t="s">
        <v>217</v>
      </c>
      <c r="X144" s="144"/>
      <c r="Y144" s="142" t="s">
        <v>184</v>
      </c>
      <c r="Z144" s="144"/>
      <c r="AA144" s="142" t="s">
        <v>131</v>
      </c>
      <c r="AB144" s="143"/>
      <c r="AC144" s="144"/>
      <c r="AF144" s="138" t="s">
        <v>143</v>
      </c>
      <c r="AG144" s="117"/>
      <c r="AH144" s="152" t="s">
        <v>203</v>
      </c>
      <c r="AI144" s="142" t="s">
        <v>218</v>
      </c>
      <c r="AJ144" s="144"/>
      <c r="AK144" s="152" t="s">
        <v>215</v>
      </c>
      <c r="AL144" s="142" t="s">
        <v>217</v>
      </c>
      <c r="AM144" s="144"/>
      <c r="AN144" s="142" t="s">
        <v>184</v>
      </c>
      <c r="AO144" s="144"/>
      <c r="AP144" s="142" t="s">
        <v>131</v>
      </c>
      <c r="AQ144" s="143"/>
      <c r="AR144" s="144"/>
    </row>
    <row r="145" spans="2:44" ht="30.75" customHeight="1" thickBot="1" x14ac:dyDescent="0.3">
      <c r="B145" s="139"/>
      <c r="C145" s="117"/>
      <c r="D145" s="153"/>
      <c r="E145" s="10" t="s">
        <v>185</v>
      </c>
      <c r="F145" s="10" t="s">
        <v>204</v>
      </c>
      <c r="G145" s="153"/>
      <c r="H145" s="10" t="s">
        <v>185</v>
      </c>
      <c r="I145" s="10" t="s">
        <v>204</v>
      </c>
      <c r="J145" s="10" t="s">
        <v>185</v>
      </c>
      <c r="K145" s="10" t="s">
        <v>204</v>
      </c>
      <c r="L145" s="10" t="s">
        <v>243</v>
      </c>
      <c r="M145" s="10" t="s">
        <v>195</v>
      </c>
      <c r="N145" s="10" t="s">
        <v>244</v>
      </c>
      <c r="Q145" s="139"/>
      <c r="R145" s="117"/>
      <c r="S145" s="153"/>
      <c r="T145" s="10" t="s">
        <v>185</v>
      </c>
      <c r="U145" s="10" t="s">
        <v>204</v>
      </c>
      <c r="V145" s="153"/>
      <c r="W145" s="10" t="s">
        <v>185</v>
      </c>
      <c r="X145" s="10" t="s">
        <v>204</v>
      </c>
      <c r="Y145" s="10" t="s">
        <v>185</v>
      </c>
      <c r="Z145" s="10" t="s">
        <v>204</v>
      </c>
      <c r="AA145" s="10" t="s">
        <v>243</v>
      </c>
      <c r="AB145" s="10" t="s">
        <v>195</v>
      </c>
      <c r="AC145" s="10" t="s">
        <v>244</v>
      </c>
      <c r="AF145" s="139"/>
      <c r="AG145" s="117"/>
      <c r="AH145" s="153"/>
      <c r="AI145" s="10" t="s">
        <v>185</v>
      </c>
      <c r="AJ145" s="10" t="s">
        <v>204</v>
      </c>
      <c r="AK145" s="153"/>
      <c r="AL145" s="10" t="s">
        <v>185</v>
      </c>
      <c r="AM145" s="10" t="s">
        <v>204</v>
      </c>
      <c r="AN145" s="10" t="s">
        <v>185</v>
      </c>
      <c r="AO145" s="10" t="s">
        <v>204</v>
      </c>
      <c r="AP145" s="10" t="s">
        <v>243</v>
      </c>
      <c r="AQ145" s="10" t="s">
        <v>195</v>
      </c>
      <c r="AR145" s="10" t="s">
        <v>244</v>
      </c>
    </row>
    <row r="146" spans="2:44" ht="15.75" customHeight="1" thickBot="1" x14ac:dyDescent="0.3">
      <c r="B146" s="69" t="s">
        <v>245</v>
      </c>
      <c r="D146" s="125">
        <v>0.15</v>
      </c>
      <c r="E146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)*D146,0)</f>
        <v>108131</v>
      </c>
      <c r="F146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)*D146</f>
        <v>33943.472180221266</v>
      </c>
      <c r="G146" s="105">
        <f>INDEX('Sites per Region'!$A:$Z, MATCH(B146,'Sites per Region'!$B:$B,0), MATCH(C$142,'Sites per Region'!$8:$8, 0))</f>
        <v>26.5</v>
      </c>
      <c r="H146" s="105">
        <f>_xlfn.LET(
_xlpm.data,'Base Stations Profiles'!$B:$E,
_xlpm.colSite,INDEX(_xlpm.data,,1),
_xlpm.colData,INDEX(_xlpm.data,,2),
_xlpm.rowRegion,MATCH(B146,_xlpm.colSite,0),
_xlpm.rowUser,MATCH("Maximum Simultaneously Active Users per Site",_xlfn.DROP(_xlpm.colSite,_xlpm.rowRegion),0),
INDEX(_xlpm.colData,_xlpm.rowRegion+_xlpm.rowUser))</f>
        <v>2500</v>
      </c>
      <c r="I146" s="124">
        <f>_xlfn.LET(
    _xlpm.data, 'Base Stations Profiles'!$B:$F,
    _xlpm.colSite, INDEX(_xlpm.data,,1),
    _xlpm.colauto, INDEX(_xlpm.data,,3),
    _xlpm.colData, INDEX(_xlpm.data,,2),
    _xlpm.rowRegion, MATCH(B146, _xlpm.colSite, 0),
    _xlpm.rowThroughput, MATCH("Maximum Throughput for Downlink per Site", _xlfn.DROP(_xlpm.colSite, _xlpm.rowRegion), 0),
    IF(INDEX(_xlpm.colauto, _xlpm.rowRegion + _xlpm.rowThroughput)='Model Configurator Sup'!$M$4,VLOOKUP(B146,'Base Stations Parameters'!$B:$E,4,0),INDEX(_xlpm.colData, _xlpm.rowRegion + _xlpm.rowThroughput))
)</f>
        <v>17000</v>
      </c>
      <c r="J146" s="106">
        <f ca="1">IF($G146&lt;=0,0,E146/(H146*$G146))</f>
        <v>1.6321660377358491</v>
      </c>
      <c r="K146" s="106">
        <f ca="1">IF($G146&lt;=0,0,F146/(I146*$G146))</f>
        <v>7.5346220155874069E-2</v>
      </c>
      <c r="L146" s="130">
        <f>VLOOKUP(B146,'Base Stations Parameters'!$B:$D,3,0)</f>
        <v>175000</v>
      </c>
      <c r="M146">
        <f ca="1">ROUNDUP(MAX(E146/H146-G146,F146/I146-G146,0),0)</f>
        <v>17</v>
      </c>
      <c r="N146" s="130">
        <f ca="1">M146*L146</f>
        <v>2975000</v>
      </c>
      <c r="Q146" s="69" t="s">
        <v>245</v>
      </c>
      <c r="S146" s="125">
        <v>0.15</v>
      </c>
      <c r="T146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)*S146,0)</f>
        <v>129823</v>
      </c>
      <c r="U146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)*S146</f>
        <v>37347.024579247074</v>
      </c>
      <c r="V146" s="105">
        <f>INDEX('Sites per Region'!$A:$AO, MATCH(Q146,'Sites per Region'!$B:$B,0), MATCH(R$142,'Sites per Region'!$8:$8, 0))</f>
        <v>26.5</v>
      </c>
      <c r="W146" s="105">
        <f>_xlfn.LET(
_xlpm.data,'Base Stations Profiles'!$B:$T,
_xlpm.colSite,INDEX(_xlpm.data,,1),
_xlpm.colData,INDEX(_xlpm.data,,2),
_xlpm.rowRegion,MATCH(Q146,_xlpm.colSite,0),
_xlpm.rowUser,MATCH("Maximum Simultaneously Active Users per Site",_xlfn.DROP(_xlpm.colSite,_xlpm.rowRegion),0),
INDEX(_xlpm.colData,_xlpm.rowRegion+_xlpm.rowUser))</f>
        <v>2500</v>
      </c>
      <c r="X146" s="124">
        <f>_xlfn.LET(
    _xlpm.data, 'Base Stations Profiles'!$B:$U,
    _xlpm.colSite, INDEX(_xlpm.data,,1),
    _xlpm.colauto, INDEX(_xlpm.data,,3),
    _xlpm.colData, INDEX(_xlpm.data,,2),
    _xlpm.rowRegion, MATCH(Q146, _xlpm.colSite, 0),
    _xlpm.rowThroughput, MATCH("Maximum Throughput for Downlink per Site", _xlfn.DROP(_xlpm.colSite, _xlpm.rowRegion), 0),
    IF(INDEX(_xlpm.colauto, _xlpm.rowRegion + _xlpm.rowThroughput)='Model Configurator Sup'!$M$4,VLOOKUP(Q146,'Base Stations Parameters'!$B:$T,4,0),INDEX(_xlpm.colData, _xlpm.rowRegion + _xlpm.rowThroughput))
)</f>
        <v>17000</v>
      </c>
      <c r="Y146" s="106">
        <f ca="1">IF($V146&lt;=0,0,T146/(W146*$V146))</f>
        <v>1.9595924528301887</v>
      </c>
      <c r="Z146" s="106">
        <f ca="1">IF($V146&lt;=0,0,U146/(X146*$V146))</f>
        <v>8.2901275425631679E-2</v>
      </c>
      <c r="AA146" s="130">
        <f>VLOOKUP(Q146,'Base Stations Parameters'!$B:$S,3,0)</f>
        <v>175000</v>
      </c>
      <c r="AB146">
        <f ca="1">ROUNDUP(MAX(T146/W146-V146,U146/X146-V146,0),0)</f>
        <v>26</v>
      </c>
      <c r="AC146" s="130">
        <f ca="1">AB146*AA146</f>
        <v>4550000</v>
      </c>
      <c r="AF146" s="69" t="s">
        <v>245</v>
      </c>
      <c r="AH146" s="125">
        <v>0.15</v>
      </c>
      <c r="AI146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)*AH146,0)</f>
        <v>219382</v>
      </c>
      <c r="AJ146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)*AH146</f>
        <v>50207.433288819222</v>
      </c>
      <c r="AK146" s="105">
        <f>INDEX('Sites per Region'!$A:$BD, MATCH(AF146,'Sites per Region'!$B:$B,0), MATCH(AG$142,'Sites per Region'!$8:$8, 0))</f>
        <v>26.5</v>
      </c>
      <c r="AL146" s="105">
        <f>_xlfn.LET(
_xlpm.data,'Base Stations Profiles'!$B:$AI,
_xlpm.colSite,INDEX(_xlpm.data,,1),
_xlpm.colData,INDEX(_xlpm.data,,2),
_xlpm.rowRegion,MATCH(AF146,_xlpm.colSite,0),
_xlpm.rowUser,MATCH("Maximum Simultaneously Active Users per Site",_xlfn.DROP(_xlpm.colSite,_xlpm.rowRegion),0),
INDEX(_xlpm.colData,_xlpm.rowRegion+_xlpm.rowUser))</f>
        <v>2500</v>
      </c>
      <c r="AM146" s="124">
        <f>_xlfn.LET(
    _xlpm.data, 'Base Stations Profiles'!$B:$AJ,
    _xlpm.colSite, INDEX(_xlpm.data,,1),
    _xlpm.colauto, INDEX(_xlpm.data,,3),
    _xlpm.colData, INDEX(_xlpm.data,,2),
    _xlpm.rowRegion, MATCH(AF146, _xlpm.colSite, 0),
    _xlpm.rowThroughput, MATCH("Maximum Throughput for Downlink per Site", _xlfn.DROP(_xlpm.colSite, _xlpm.rowRegion), 0),
    IF(INDEX(_xlpm.colauto, _xlpm.rowRegion + _xlpm.rowThroughput)='Model Configurator Sup'!$M$4,VLOOKUP(AF146,'Base Stations Parameters'!$B:$AI,4,0),INDEX(_xlpm.colData, _xlpm.rowRegion + _xlpm.rowThroughput))
)</f>
        <v>17000</v>
      </c>
      <c r="AN146" s="106">
        <f ca="1">IF($AK146&lt;=0,0,AI146/(AL146*$AK146))</f>
        <v>3.3114264150943398</v>
      </c>
      <c r="AO146" s="106">
        <f ca="1">IF($AK146&lt;=0,0,AJ146/(AM146*$AK146))</f>
        <v>0.11144824259449328</v>
      </c>
      <c r="AP146" s="130">
        <f>VLOOKUP(AF146,'Base Stations Parameters'!$B:$AH,3,0)</f>
        <v>175000</v>
      </c>
      <c r="AQ146">
        <f ca="1">ROUNDUP(MAX(AI146/AL146-AK146,AJ146/AM146-AK146,0),0)</f>
        <v>62</v>
      </c>
      <c r="AR146" s="130">
        <f ca="1">AQ146*AP146</f>
        <v>10850000</v>
      </c>
    </row>
    <row r="147" spans="2:44" ht="15.75" customHeight="1" thickBot="1" x14ac:dyDescent="0.3">
      <c r="B147" s="69" t="s">
        <v>169</v>
      </c>
      <c r="D147" s="125">
        <v>0.15</v>
      </c>
      <c r="E147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)*D147,0)</f>
        <v>108131</v>
      </c>
      <c r="F147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)*D147</f>
        <v>33943.472180221266</v>
      </c>
      <c r="G147" s="105">
        <f>INDEX('Sites per Region'!$A:$Z, MATCH(B147,'Sites per Region'!$B:$B,0), MATCH(C$142,'Sites per Region'!$8:$8, 0))</f>
        <v>26.5</v>
      </c>
      <c r="H147" s="105">
        <f>_xlfn.LET(
_xlpm.data,'Base Stations Profiles'!$B:$E,
_xlpm.colSite,INDEX(_xlpm.data,,1),
_xlpm.colData,INDEX(_xlpm.data,,2),
_xlpm.rowRegion,MATCH(B147,_xlpm.colSite,0),
_xlpm.rowUser,MATCH("Maximum Simultaneously Active Users per Site",_xlfn.DROP(_xlpm.colSite,_xlpm.rowRegion),0),
INDEX(_xlpm.colData,_xlpm.rowRegion+_xlpm.rowUser))</f>
        <v>2500</v>
      </c>
      <c r="I147" s="124">
        <f>_xlfn.LET(
    _xlpm.data, 'Base Stations Profiles'!$B:$F,
    _xlpm.colSite, INDEX(_xlpm.data,,1),
    _xlpm.colauto, INDEX(_xlpm.data,,3),
    _xlpm.colData, INDEX(_xlpm.data,,2),
    _xlpm.rowRegion, MATCH(B147, _xlpm.colSite, 0),
    _xlpm.rowThroughput, MATCH("Maximum Throughput for Downlink per Site", _xlfn.DROP(_xlpm.colSite, _xlpm.rowRegion), 0),
    IF(INDEX(_xlpm.colauto, _xlpm.rowRegion + _xlpm.rowThroughput)='Model Configurator Sup'!$M$4,VLOOKUP(B147,'Base Stations Parameters'!$B:$E,4,0),INDEX(_xlpm.colData, _xlpm.rowRegion + _xlpm.rowThroughput))
)</f>
        <v>17000</v>
      </c>
      <c r="J147" s="106">
        <f ca="1">IF($G147&lt;=0,0,E147/(H147*$G147))</f>
        <v>1.6321660377358491</v>
      </c>
      <c r="K147" s="106">
        <f ca="1">IF($G147&lt;=0,0,F147/(I147*$G147))</f>
        <v>7.5346220155874069E-2</v>
      </c>
      <c r="L147" s="130">
        <f>VLOOKUP(B147,'Base Stations Parameters'!$B:$D,3,0)</f>
        <v>145000</v>
      </c>
      <c r="M147">
        <f ca="1">ROUNDUP(MAX(E147/H147-G147,F147/I147-G147,0),0)</f>
        <v>17</v>
      </c>
      <c r="N147" s="130">
        <f ca="1">M147*L147</f>
        <v>2465000</v>
      </c>
      <c r="Q147" s="69" t="s">
        <v>169</v>
      </c>
      <c r="S147" s="125">
        <v>0.15</v>
      </c>
      <c r="T147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)*S147,0)</f>
        <v>129823</v>
      </c>
      <c r="U147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)*S147</f>
        <v>37347.024579247074</v>
      </c>
      <c r="V147" s="105">
        <f>INDEX('Sites per Region'!$A:$AO, MATCH(Q147,'Sites per Region'!$B:$B,0), MATCH(R$142,'Sites per Region'!$8:$8, 0))</f>
        <v>26.5</v>
      </c>
      <c r="W147" s="105">
        <f>_xlfn.LET(
_xlpm.data,'Base Stations Profiles'!$B:$T,
_xlpm.colSite,INDEX(_xlpm.data,,1),
_xlpm.colData,INDEX(_xlpm.data,,2),
_xlpm.rowRegion,MATCH(Q147,_xlpm.colSite,0),
_xlpm.rowUser,MATCH("Maximum Simultaneously Active Users per Site",_xlfn.DROP(_xlpm.colSite,_xlpm.rowRegion),0),
INDEX(_xlpm.colData,_xlpm.rowRegion+_xlpm.rowUser))</f>
        <v>2500</v>
      </c>
      <c r="X147" s="124">
        <f>_xlfn.LET(
    _xlpm.data, 'Base Stations Profiles'!$B:$U,
    _xlpm.colSite, INDEX(_xlpm.data,,1),
    _xlpm.colauto, INDEX(_xlpm.data,,3),
    _xlpm.colData, INDEX(_xlpm.data,,2),
    _xlpm.rowRegion, MATCH(Q147, _xlpm.colSite, 0),
    _xlpm.rowThroughput, MATCH("Maximum Throughput for Downlink per Site", _xlfn.DROP(_xlpm.colSite, _xlpm.rowRegion), 0),
    IF(INDEX(_xlpm.colauto, _xlpm.rowRegion + _xlpm.rowThroughput)='Model Configurator Sup'!$M$4,VLOOKUP(Q147,'Base Stations Parameters'!$B:$T,4,0),INDEX(_xlpm.colData, _xlpm.rowRegion + _xlpm.rowThroughput))
)</f>
        <v>17000</v>
      </c>
      <c r="Y147" s="106">
        <f ca="1">IF($V147&lt;=0,0,T147/(W147*$V147))</f>
        <v>1.9595924528301887</v>
      </c>
      <c r="Z147" s="106">
        <f ca="1">IF($V147&lt;=0,0,U147/(X147*$V147))</f>
        <v>8.2901275425631679E-2</v>
      </c>
      <c r="AA147" s="130">
        <f>VLOOKUP(Q147,'Base Stations Parameters'!$B:$S,3,0)</f>
        <v>145000</v>
      </c>
      <c r="AB147">
        <f ca="1">ROUNDUP(MAX(T147/W147-V147,U147/X147-V147,0),0)</f>
        <v>26</v>
      </c>
      <c r="AC147" s="130">
        <f ca="1">AB147*AA147</f>
        <v>3770000</v>
      </c>
      <c r="AF147" s="69" t="s">
        <v>169</v>
      </c>
      <c r="AH147" s="125">
        <v>0.15</v>
      </c>
      <c r="AI147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)*AH147,0)</f>
        <v>219382</v>
      </c>
      <c r="AJ147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)*AH147</f>
        <v>50207.433288819222</v>
      </c>
      <c r="AK147" s="105">
        <f>INDEX('Sites per Region'!$A:$BD, MATCH(AF147,'Sites per Region'!$B:$B,0), MATCH(AG$142,'Sites per Region'!$8:$8, 0))</f>
        <v>26.5</v>
      </c>
      <c r="AL147" s="105">
        <f>_xlfn.LET(
_xlpm.data,'Base Stations Profiles'!$B:$AI,
_xlpm.colSite,INDEX(_xlpm.data,,1),
_xlpm.colData,INDEX(_xlpm.data,,2),
_xlpm.rowRegion,MATCH(AF147,_xlpm.colSite,0),
_xlpm.rowUser,MATCH("Maximum Simultaneously Active Users per Site",_xlfn.DROP(_xlpm.colSite,_xlpm.rowRegion),0),
INDEX(_xlpm.colData,_xlpm.rowRegion+_xlpm.rowUser))</f>
        <v>2500</v>
      </c>
      <c r="AM147" s="124">
        <f>_xlfn.LET(
    _xlpm.data, 'Base Stations Profiles'!$B:$AJ,
    _xlpm.colSite, INDEX(_xlpm.data,,1),
    _xlpm.colauto, INDEX(_xlpm.data,,3),
    _xlpm.colData, INDEX(_xlpm.data,,2),
    _xlpm.rowRegion, MATCH(AF147, _xlpm.colSite, 0),
    _xlpm.rowThroughput, MATCH("Maximum Throughput for Downlink per Site", _xlfn.DROP(_xlpm.colSite, _xlpm.rowRegion), 0),
    IF(INDEX(_xlpm.colauto, _xlpm.rowRegion + _xlpm.rowThroughput)='Model Configurator Sup'!$M$4,VLOOKUP(AF147,'Base Stations Parameters'!$B:$AI,4,0),INDEX(_xlpm.colData, _xlpm.rowRegion + _xlpm.rowThroughput))
)</f>
        <v>17000</v>
      </c>
      <c r="AN147" s="106">
        <f ca="1">IF($AK147&lt;=0,0,AI147/(AL147*$AK147))</f>
        <v>3.3114264150943398</v>
      </c>
      <c r="AO147" s="106">
        <f ca="1">IF($AK147&lt;=0,0,AJ147/(AM147*$AK147))</f>
        <v>0.11144824259449328</v>
      </c>
      <c r="AP147" s="130">
        <f>VLOOKUP(AF147,'Base Stations Parameters'!$B:$AH,3,0)</f>
        <v>145000</v>
      </c>
      <c r="AQ147">
        <f ca="1">ROUNDUP(MAX(AI147/AL147-AK147,AJ147/AM147-AK147,0),0)</f>
        <v>62</v>
      </c>
      <c r="AR147" s="130">
        <f ca="1">AQ147*AP147</f>
        <v>8990000</v>
      </c>
    </row>
    <row r="148" spans="2:44" ht="15.75" customHeight="1" thickBot="1" x14ac:dyDescent="0.3">
      <c r="B148" s="69" t="s">
        <v>246</v>
      </c>
      <c r="D148" s="125">
        <v>0.15</v>
      </c>
      <c r="E148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)*D148,0)</f>
        <v>108131</v>
      </c>
      <c r="F148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)*D148</f>
        <v>33943.472180221266</v>
      </c>
      <c r="G148" s="105">
        <f>INDEX('Sites per Region'!$A:$Z, MATCH(B148,'Sites per Region'!$B:$B,0), MATCH(C$142,'Sites per Region'!$8:$8, 0))</f>
        <v>45</v>
      </c>
      <c r="H148" s="105">
        <f>_xlfn.LET(
_xlpm.data,'Base Stations Profiles'!$B:$E,
_xlpm.colSite,INDEX(_xlpm.data,,1),
_xlpm.colData,INDEX(_xlpm.data,,2),
_xlpm.rowRegion,MATCH(B148,_xlpm.colSite,0),
_xlpm.rowUser,MATCH("Maximum Simultaneously Active Users per Site",_xlfn.DROP(_xlpm.colSite,_xlpm.rowRegion),0),
INDEX(_xlpm.colData,_xlpm.rowRegion+_xlpm.rowUser))</f>
        <v>1500</v>
      </c>
      <c r="I148" s="124">
        <f>_xlfn.LET(
    _xlpm.data, 'Base Stations Profiles'!$B:$F,
    _xlpm.colSite, INDEX(_xlpm.data,,1),
    _xlpm.colauto, INDEX(_xlpm.data,,3),
    _xlpm.colData, INDEX(_xlpm.data,,2),
    _xlpm.rowRegion, MATCH(B148, _xlpm.colSite, 0),
    _xlpm.rowThroughput, MATCH("Maximum Throughput for Downlink per Site", _xlfn.DROP(_xlpm.colSite, _xlpm.rowRegion), 0),
    IF(INDEX(_xlpm.colauto, _xlpm.rowRegion + _xlpm.rowThroughput)='Model Configurator Sup'!$M$4,VLOOKUP(B148,'Base Stations Parameters'!$B:$E,4,0),INDEX(_xlpm.colData, _xlpm.rowRegion + _xlpm.rowThroughput))
)</f>
        <v>12000</v>
      </c>
      <c r="J148" s="106">
        <f ca="1">IF($G148&lt;=0,0,E148/(H148*$G148))</f>
        <v>1.6019407407407407</v>
      </c>
      <c r="K148" s="106">
        <f ca="1">IF($G148&lt;=0,0,F148/(I148*$G148))</f>
        <v>6.285828181522457E-2</v>
      </c>
      <c r="L148" s="130">
        <f>VLOOKUP(B148,'Base Stations Parameters'!$B:$D,3,0)</f>
        <v>145000</v>
      </c>
      <c r="M148">
        <f ca="1">ROUNDUP(MAX(E148/H148-G148,F148/I148-G148,0),0)</f>
        <v>28</v>
      </c>
      <c r="N148" s="130">
        <f ca="1">M148*L148</f>
        <v>4060000</v>
      </c>
      <c r="Q148" s="69" t="s">
        <v>246</v>
      </c>
      <c r="S148" s="125">
        <v>0.15</v>
      </c>
      <c r="T148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)*S148,0)</f>
        <v>129823</v>
      </c>
      <c r="U148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)*S148</f>
        <v>37347.024579247074</v>
      </c>
      <c r="V148" s="105">
        <f>INDEX('Sites per Region'!$A:$AO, MATCH(Q148,'Sites per Region'!$B:$B,0), MATCH(R$142,'Sites per Region'!$8:$8, 0))</f>
        <v>45</v>
      </c>
      <c r="W148" s="105">
        <f>_xlfn.LET(
_xlpm.data,'Base Stations Profiles'!$B:$T,
_xlpm.colSite,INDEX(_xlpm.data,,1),
_xlpm.colData,INDEX(_xlpm.data,,2),
_xlpm.rowRegion,MATCH(Q148,_xlpm.colSite,0),
_xlpm.rowUser,MATCH("Maximum Simultaneously Active Users per Site",_xlfn.DROP(_xlpm.colSite,_xlpm.rowRegion),0),
INDEX(_xlpm.colData,_xlpm.rowRegion+_xlpm.rowUser))</f>
        <v>1500</v>
      </c>
      <c r="X148" s="124">
        <f>_xlfn.LET(
    _xlpm.data, 'Base Stations Profiles'!$B:$U,
    _xlpm.colSite, INDEX(_xlpm.data,,1),
    _xlpm.colauto, INDEX(_xlpm.data,,3),
    _xlpm.colData, INDEX(_xlpm.data,,2),
    _xlpm.rowRegion, MATCH(Q148, _xlpm.colSite, 0),
    _xlpm.rowThroughput, MATCH("Maximum Throughput for Downlink per Site", _xlfn.DROP(_xlpm.colSite, _xlpm.rowRegion), 0),
    IF(INDEX(_xlpm.colauto, _xlpm.rowRegion + _xlpm.rowThroughput)='Model Configurator Sup'!$M$4,VLOOKUP(Q148,'Base Stations Parameters'!$B:$T,4,0),INDEX(_xlpm.colData, _xlpm.rowRegion + _xlpm.rowThroughput))
)</f>
        <v>12000</v>
      </c>
      <c r="Y148" s="106">
        <f ca="1">IF($V148&lt;=0,0,T148/(W148*$V148))</f>
        <v>1.9233037037037037</v>
      </c>
      <c r="Z148" s="106">
        <f ca="1">IF($V148&lt;=0,0,U148/(X148*$V148))</f>
        <v>6.9161156628235326E-2</v>
      </c>
      <c r="AA148" s="130">
        <f>VLOOKUP(Q148,'Base Stations Parameters'!$B:$S,3,0)</f>
        <v>145000</v>
      </c>
      <c r="AB148">
        <f ca="1">ROUNDUP(MAX(T148/W148-V148,U148/X148-V148,0),0)</f>
        <v>42</v>
      </c>
      <c r="AC148" s="130">
        <f ca="1">AB148*AA148</f>
        <v>6090000</v>
      </c>
      <c r="AF148" s="69" t="s">
        <v>246</v>
      </c>
      <c r="AH148" s="125">
        <v>0.15</v>
      </c>
      <c r="AI148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)*AH148,0)</f>
        <v>219382</v>
      </c>
      <c r="AJ148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)*AH148</f>
        <v>50207.433288819222</v>
      </c>
      <c r="AK148" s="105">
        <f>INDEX('Sites per Region'!$A:$BD, MATCH(AF148,'Sites per Region'!$B:$B,0), MATCH(AG$142,'Sites per Region'!$8:$8, 0))</f>
        <v>45</v>
      </c>
      <c r="AL148" s="105">
        <f>_xlfn.LET(
_xlpm.data,'Base Stations Profiles'!$B:$AI,
_xlpm.colSite,INDEX(_xlpm.data,,1),
_xlpm.colData,INDEX(_xlpm.data,,2),
_xlpm.rowRegion,MATCH(AF148,_xlpm.colSite,0),
_xlpm.rowUser,MATCH("Maximum Simultaneously Active Users per Site",_xlfn.DROP(_xlpm.colSite,_xlpm.rowRegion),0),
INDEX(_xlpm.colData,_xlpm.rowRegion+_xlpm.rowUser))</f>
        <v>1500</v>
      </c>
      <c r="AM148" s="124">
        <f>_xlfn.LET(
    _xlpm.data, 'Base Stations Profiles'!$B:$AJ,
    _xlpm.colSite, INDEX(_xlpm.data,,1),
    _xlpm.colauto, INDEX(_xlpm.data,,3),
    _xlpm.colData, INDEX(_xlpm.data,,2),
    _xlpm.rowRegion, MATCH(AF148, _xlpm.colSite, 0),
    _xlpm.rowThroughput, MATCH("Maximum Throughput for Downlink per Site", _xlfn.DROP(_xlpm.colSite, _xlpm.rowRegion), 0),
    IF(INDEX(_xlpm.colauto, _xlpm.rowRegion + _xlpm.rowThroughput)='Model Configurator Sup'!$M$4,VLOOKUP(AF148,'Base Stations Parameters'!$B:$AI,4,0),INDEX(_xlpm.colData, _xlpm.rowRegion + _xlpm.rowThroughput))
)</f>
        <v>12000</v>
      </c>
      <c r="AN148" s="106">
        <f ca="1">IF($AK148&lt;=0,0,AI148/(AL148*$AK148))</f>
        <v>3.2501037037037035</v>
      </c>
      <c r="AO148" s="106">
        <f ca="1">IF($AK148&lt;=0,0,AJ148/(AM148*$AK148))</f>
        <v>9.2976728312628196E-2</v>
      </c>
      <c r="AP148" s="130">
        <f>VLOOKUP(AF148,'Base Stations Parameters'!$B:$AH,3,0)</f>
        <v>145000</v>
      </c>
      <c r="AQ148">
        <f ca="1">ROUNDUP(MAX(AI148/AL148-AK148,AJ148/AM148-AK148,0),0)</f>
        <v>102</v>
      </c>
      <c r="AR148" s="130">
        <f ca="1">AQ148*AP148</f>
        <v>14790000</v>
      </c>
    </row>
    <row r="149" spans="2:44" ht="15.75" customHeight="1" thickBot="1" x14ac:dyDescent="0.3">
      <c r="B149" s="69" t="s">
        <v>170</v>
      </c>
      <c r="D149" s="125">
        <v>0.15</v>
      </c>
      <c r="E149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)*D149,0)</f>
        <v>108131</v>
      </c>
      <c r="F149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)*D149</f>
        <v>33943.472180221266</v>
      </c>
      <c r="G149" s="105">
        <f>INDEX('Sites per Region'!$A:$Z, MATCH(B149,'Sites per Region'!$B:$B,0), MATCH(C$142,'Sites per Region'!$8:$8, 0))</f>
        <v>45</v>
      </c>
      <c r="H149" s="105">
        <f>_xlfn.LET(
_xlpm.data,'Base Stations Profiles'!$B:$E,
_xlpm.colSite,INDEX(_xlpm.data,,1),
_xlpm.colData,INDEX(_xlpm.data,,2),
_xlpm.rowRegion,MATCH(B149,_xlpm.colSite,0),
_xlpm.rowUser,MATCH("Maximum Simultaneously Active Users per Site",_xlfn.DROP(_xlpm.colSite,_xlpm.rowRegion),0),
INDEX(_xlpm.colData,_xlpm.rowRegion+_xlpm.rowUser))</f>
        <v>1500</v>
      </c>
      <c r="I149" s="124">
        <f>_xlfn.LET(
    _xlpm.data, 'Base Stations Profiles'!$B:$F,
    _xlpm.colSite, INDEX(_xlpm.data,,1),
    _xlpm.colauto, INDEX(_xlpm.data,,3),
    _xlpm.colData, INDEX(_xlpm.data,,2),
    _xlpm.rowRegion, MATCH(B149, _xlpm.colSite, 0),
    _xlpm.rowThroughput, MATCH("Maximum Throughput for Downlink per Site", _xlfn.DROP(_xlpm.colSite, _xlpm.rowRegion), 0),
    IF(INDEX(_xlpm.colauto, _xlpm.rowRegion + _xlpm.rowThroughput)='Model Configurator Sup'!$M$4,VLOOKUP(B149,'Base Stations Parameters'!$B:$E,4,0),INDEX(_xlpm.colData, _xlpm.rowRegion + _xlpm.rowThroughput))
)</f>
        <v>12000</v>
      </c>
      <c r="J149" s="106">
        <f ca="1">IF($G149&lt;=0,0,E149/(H149*$G149))</f>
        <v>1.6019407407407407</v>
      </c>
      <c r="K149" s="106">
        <f ca="1">IF($G149&lt;=0,0,F149/(I149*$G149))</f>
        <v>6.285828181522457E-2</v>
      </c>
      <c r="L149" s="130">
        <f>VLOOKUP(B149,'Base Stations Parameters'!$B:$D,3,0)</f>
        <v>100000</v>
      </c>
      <c r="M149">
        <f ca="1">ROUNDUP(MAX(E149/H149-G149,F149/I149-G149,0),0)</f>
        <v>28</v>
      </c>
      <c r="N149" s="130">
        <f ca="1">M149*L149</f>
        <v>2800000</v>
      </c>
      <c r="Q149" s="69" t="s">
        <v>170</v>
      </c>
      <c r="S149" s="125">
        <v>0.15</v>
      </c>
      <c r="T149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)*S149,0)</f>
        <v>129823</v>
      </c>
      <c r="U149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)*S149</f>
        <v>37347.024579247074</v>
      </c>
      <c r="V149" s="105">
        <f>INDEX('Sites per Region'!$A:$AO, MATCH(Q149,'Sites per Region'!$B:$B,0), MATCH(R$142,'Sites per Region'!$8:$8, 0))</f>
        <v>45</v>
      </c>
      <c r="W149" s="105">
        <f>_xlfn.LET(
_xlpm.data,'Base Stations Profiles'!$B:$T,
_xlpm.colSite,INDEX(_xlpm.data,,1),
_xlpm.colData,INDEX(_xlpm.data,,2),
_xlpm.rowRegion,MATCH(Q149,_xlpm.colSite,0),
_xlpm.rowUser,MATCH("Maximum Simultaneously Active Users per Site",_xlfn.DROP(_xlpm.colSite,_xlpm.rowRegion),0),
INDEX(_xlpm.colData,_xlpm.rowRegion+_xlpm.rowUser))</f>
        <v>1500</v>
      </c>
      <c r="X149" s="124">
        <f>_xlfn.LET(
    _xlpm.data, 'Base Stations Profiles'!$B:$U,
    _xlpm.colSite, INDEX(_xlpm.data,,1),
    _xlpm.colauto, INDEX(_xlpm.data,,3),
    _xlpm.colData, INDEX(_xlpm.data,,2),
    _xlpm.rowRegion, MATCH(Q149, _xlpm.colSite, 0),
    _xlpm.rowThroughput, MATCH("Maximum Throughput for Downlink per Site", _xlfn.DROP(_xlpm.colSite, _xlpm.rowRegion), 0),
    IF(INDEX(_xlpm.colauto, _xlpm.rowRegion + _xlpm.rowThroughput)='Model Configurator Sup'!$M$4,VLOOKUP(Q149,'Base Stations Parameters'!$B:$T,4,0),INDEX(_xlpm.colData, _xlpm.rowRegion + _xlpm.rowThroughput))
)</f>
        <v>12000</v>
      </c>
      <c r="Y149" s="106">
        <f ca="1">IF($V149&lt;=0,0,T149/(W149*$V149))</f>
        <v>1.9233037037037037</v>
      </c>
      <c r="Z149" s="106">
        <f ca="1">IF($V149&lt;=0,0,U149/(X149*$V149))</f>
        <v>6.9161156628235326E-2</v>
      </c>
      <c r="AA149" s="130">
        <f>VLOOKUP(Q149,'Base Stations Parameters'!$B:$S,3,0)</f>
        <v>100000</v>
      </c>
      <c r="AB149">
        <f ca="1">ROUNDUP(MAX(T149/W149-V149,U149/X149-V149,0),0)</f>
        <v>42</v>
      </c>
      <c r="AC149" s="130">
        <f ca="1">AB149*AA149</f>
        <v>4200000</v>
      </c>
      <c r="AF149" s="69" t="s">
        <v>170</v>
      </c>
      <c r="AH149" s="125">
        <v>0.15</v>
      </c>
      <c r="AI149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)*AH149,0)</f>
        <v>219382</v>
      </c>
      <c r="AJ149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)*AH149</f>
        <v>50207.433288819222</v>
      </c>
      <c r="AK149" s="105">
        <f>INDEX('Sites per Region'!$A:$BD, MATCH(AF149,'Sites per Region'!$B:$B,0), MATCH(AG$142,'Sites per Region'!$8:$8, 0))</f>
        <v>45</v>
      </c>
      <c r="AL149" s="105">
        <f>_xlfn.LET(
_xlpm.data,'Base Stations Profiles'!$B:$AI,
_xlpm.colSite,INDEX(_xlpm.data,,1),
_xlpm.colData,INDEX(_xlpm.data,,2),
_xlpm.rowRegion,MATCH(AF149,_xlpm.colSite,0),
_xlpm.rowUser,MATCH("Maximum Simultaneously Active Users per Site",_xlfn.DROP(_xlpm.colSite,_xlpm.rowRegion),0),
INDEX(_xlpm.colData,_xlpm.rowRegion+_xlpm.rowUser))</f>
        <v>1500</v>
      </c>
      <c r="AM149" s="124">
        <f>_xlfn.LET(
    _xlpm.data, 'Base Stations Profiles'!$B:$AJ,
    _xlpm.colSite, INDEX(_xlpm.data,,1),
    _xlpm.colauto, INDEX(_xlpm.data,,3),
    _xlpm.colData, INDEX(_xlpm.data,,2),
    _xlpm.rowRegion, MATCH(AF149, _xlpm.colSite, 0),
    _xlpm.rowThroughput, MATCH("Maximum Throughput for Downlink per Site", _xlfn.DROP(_xlpm.colSite, _xlpm.rowRegion), 0),
    IF(INDEX(_xlpm.colauto, _xlpm.rowRegion + _xlpm.rowThroughput)='Model Configurator Sup'!$M$4,VLOOKUP(AF149,'Base Stations Parameters'!$B:$AI,4,0),INDEX(_xlpm.colData, _xlpm.rowRegion + _xlpm.rowThroughput))
)</f>
        <v>12000</v>
      </c>
      <c r="AN149" s="106">
        <f ca="1">IF($AK149&lt;=0,0,AI149/(AL149*$AK149))</f>
        <v>3.2501037037037035</v>
      </c>
      <c r="AO149" s="106">
        <f ca="1">IF($AK149&lt;=0,0,AJ149/(AM149*$AK149))</f>
        <v>9.2976728312628196E-2</v>
      </c>
      <c r="AP149" s="130">
        <f>VLOOKUP(AF149,'Base Stations Parameters'!$B:$AH,3,0)</f>
        <v>100000</v>
      </c>
      <c r="AQ149">
        <f ca="1">ROUNDUP(MAX(AI149/AL149-AK149,AJ149/AM149-AK149,0),0)</f>
        <v>102</v>
      </c>
      <c r="AR149" s="130">
        <f ca="1">AQ149*AP149</f>
        <v>10200000</v>
      </c>
    </row>
    <row r="150" spans="2:44" ht="15.75" customHeight="1" thickBot="1" x14ac:dyDescent="0.3">
      <c r="B150" s="69" t="s">
        <v>247</v>
      </c>
      <c r="D150" s="125">
        <v>7.4999999999999997E-2</v>
      </c>
      <c r="E150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)*D150,0)</f>
        <v>54065</v>
      </c>
      <c r="F150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)*D150</f>
        <v>16971.736090110633</v>
      </c>
      <c r="G150" s="105">
        <f>INDEX('Sites per Region'!$A:$Z, MATCH(B150,'Sites per Region'!$B:$B,0), MATCH(C$142,'Sites per Region'!$8:$8, 0))</f>
        <v>39</v>
      </c>
      <c r="H150" s="105">
        <f>_xlfn.LET(
_xlpm.data,'Base Stations Profiles'!$B:$E,
_xlpm.colSite,INDEX(_xlpm.data,,1),
_xlpm.colData,INDEX(_xlpm.data,,2),
_xlpm.rowRegion,MATCH(B150,_xlpm.colSite,0),
_xlpm.rowUser,MATCH("Maximum Simultaneously Active Users per Site",_xlfn.DROP(_xlpm.colSite,_xlpm.rowRegion),0),
INDEX(_xlpm.colData,_xlpm.rowRegion+_xlpm.rowUser))</f>
        <v>750</v>
      </c>
      <c r="I150" s="124">
        <f>_xlfn.LET(
    _xlpm.data, 'Base Stations Profiles'!$B:$F,
    _xlpm.colSite, INDEX(_xlpm.data,,1),
    _xlpm.colauto, INDEX(_xlpm.data,,3),
    _xlpm.colData, INDEX(_xlpm.data,,2),
    _xlpm.rowRegion, MATCH(B150, _xlpm.colSite, 0),
    _xlpm.rowThroughput, MATCH("Maximum Throughput for Downlink per Site", _xlfn.DROP(_xlpm.colSite, _xlpm.rowRegion), 0),
    IF(INDEX(_xlpm.colauto, _xlpm.rowRegion + _xlpm.rowThroughput)='Model Configurator Sup'!$M$4,VLOOKUP(B150,'Base Stations Parameters'!$B:$E,4,0),INDEX(_xlpm.colData, _xlpm.rowRegion + _xlpm.rowThroughput))
)</f>
        <v>5000</v>
      </c>
      <c r="J150" s="106">
        <f ca="1">IF($G150&lt;=0,0,E150/(H150*$G150))</f>
        <v>1.8483760683760684</v>
      </c>
      <c r="K150" s="106">
        <f ca="1">IF($G150&lt;=0,0,F150/(I150*$G150))</f>
        <v>8.7034544051849405E-2</v>
      </c>
      <c r="L150" s="130">
        <f>VLOOKUP(B150,'Base Stations Parameters'!$B:$D,3,0)</f>
        <v>100000</v>
      </c>
      <c r="M150">
        <f ca="1">ROUNDUP(MAX(E150/H150-G150,F150/I150-G150,0),0)</f>
        <v>34</v>
      </c>
      <c r="N150" s="130">
        <f ca="1">M150*L150</f>
        <v>3400000</v>
      </c>
      <c r="Q150" s="69" t="s">
        <v>247</v>
      </c>
      <c r="S150" s="125">
        <v>7.4999999999999997E-2</v>
      </c>
      <c r="T150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)*S150,0)</f>
        <v>64911</v>
      </c>
      <c r="U150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)*S150</f>
        <v>18673.512289623537</v>
      </c>
      <c r="V150" s="105">
        <f>INDEX('Sites per Region'!$A:$AO, MATCH(Q150,'Sites per Region'!$B:$B,0), MATCH(R$142,'Sites per Region'!$8:$8, 0))</f>
        <v>39</v>
      </c>
      <c r="W150" s="105">
        <f>_xlfn.LET(
_xlpm.data,'Base Stations Profiles'!$B:$T,
_xlpm.colSite,INDEX(_xlpm.data,,1),
_xlpm.colData,INDEX(_xlpm.data,,2),
_xlpm.rowRegion,MATCH(Q150,_xlpm.colSite,0),
_xlpm.rowUser,MATCH("Maximum Simultaneously Active Users per Site",_xlfn.DROP(_xlpm.colSite,_xlpm.rowRegion),0),
INDEX(_xlpm.colData,_xlpm.rowRegion+_xlpm.rowUser))</f>
        <v>750</v>
      </c>
      <c r="X150" s="124">
        <f>_xlfn.LET(
    _xlpm.data, 'Base Stations Profiles'!$B:$U,
    _xlpm.colSite, INDEX(_xlpm.data,,1),
    _xlpm.colauto, INDEX(_xlpm.data,,3),
    _xlpm.colData, INDEX(_xlpm.data,,2),
    _xlpm.rowRegion, MATCH(Q150, _xlpm.colSite, 0),
    _xlpm.rowThroughput, MATCH("Maximum Throughput for Downlink per Site", _xlfn.DROP(_xlpm.colSite, _xlpm.rowRegion), 0),
    IF(INDEX(_xlpm.colauto, _xlpm.rowRegion + _xlpm.rowThroughput)='Model Configurator Sup'!$M$4,VLOOKUP(Q150,'Base Stations Parameters'!$B:$T,4,0),INDEX(_xlpm.colData, _xlpm.rowRegion + _xlpm.rowThroughput))
)</f>
        <v>5000</v>
      </c>
      <c r="Y150" s="106">
        <f ca="1">IF($V150&lt;=0,0,T150/(W150*$V150))</f>
        <v>2.219179487179487</v>
      </c>
      <c r="Z150" s="106">
        <f ca="1">IF($V150&lt;=0,0,U150/(X150*$V150))</f>
        <v>9.5761601485248912E-2</v>
      </c>
      <c r="AA150" s="130">
        <f>VLOOKUP(Q150,'Base Stations Parameters'!$B:$S,3,0)</f>
        <v>100000</v>
      </c>
      <c r="AB150">
        <f ca="1">ROUNDUP(MAX(T150/W150-V150,U150/X150-V150,0),0)</f>
        <v>48</v>
      </c>
      <c r="AC150" s="130">
        <f ca="1">AB150*AA150</f>
        <v>4800000</v>
      </c>
      <c r="AF150" s="69" t="s">
        <v>247</v>
      </c>
      <c r="AH150" s="125">
        <v>7.4999999999999997E-2</v>
      </c>
      <c r="AI150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)*AH150,0)</f>
        <v>109691</v>
      </c>
      <c r="AJ150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)*AH150</f>
        <v>25103.716644409611</v>
      </c>
      <c r="AK150" s="105">
        <f>INDEX('Sites per Region'!$A:$BD, MATCH(AF150,'Sites per Region'!$B:$B,0), MATCH(AG$142,'Sites per Region'!$8:$8, 0))</f>
        <v>39</v>
      </c>
      <c r="AL150" s="105">
        <f>_xlfn.LET(
_xlpm.data,'Base Stations Profiles'!$B:$AI,
_xlpm.colSite,INDEX(_xlpm.data,,1),
_xlpm.colData,INDEX(_xlpm.data,,2),
_xlpm.rowRegion,MATCH(AF150,_xlpm.colSite,0),
_xlpm.rowUser,MATCH("Maximum Simultaneously Active Users per Site",_xlfn.DROP(_xlpm.colSite,_xlpm.rowRegion),0),
INDEX(_xlpm.colData,_xlpm.rowRegion+_xlpm.rowUser))</f>
        <v>750</v>
      </c>
      <c r="AM150" s="124">
        <f>_xlfn.LET(
    _xlpm.data, 'Base Stations Profiles'!$B:$AJ,
    _xlpm.colSite, INDEX(_xlpm.data,,1),
    _xlpm.colauto, INDEX(_xlpm.data,,3),
    _xlpm.colData, INDEX(_xlpm.data,,2),
    _xlpm.rowRegion, MATCH(AF150, _xlpm.colSite, 0),
    _xlpm.rowThroughput, MATCH("Maximum Throughput for Downlink per Site", _xlfn.DROP(_xlpm.colSite, _xlpm.rowRegion), 0),
    IF(INDEX(_xlpm.colauto, _xlpm.rowRegion + _xlpm.rowThroughput)='Model Configurator Sup'!$M$4,VLOOKUP(AF150,'Base Stations Parameters'!$B:$AI,4,0),INDEX(_xlpm.colData, _xlpm.rowRegion + _xlpm.rowThroughput))
)</f>
        <v>5000</v>
      </c>
      <c r="AN150" s="106">
        <f ca="1">IF($AK150&lt;=0,0,AI150/(AL150*$AK150))</f>
        <v>3.7501196581196581</v>
      </c>
      <c r="AO150" s="106">
        <f ca="1">IF($AK150&lt;=0,0,AJ150/(AM150*$AK150))</f>
        <v>0.12873700843286981</v>
      </c>
      <c r="AP150" s="130">
        <f>VLOOKUP(AF150,'Base Stations Parameters'!$B:$AH,3,0)</f>
        <v>100000</v>
      </c>
      <c r="AQ150">
        <f ca="1">ROUNDUP(MAX(AI150/AL150-AK150,AJ150/AM150-AK150,0),0)</f>
        <v>108</v>
      </c>
      <c r="AR150" s="130">
        <f ca="1">AQ150*AP150</f>
        <v>10800000</v>
      </c>
    </row>
    <row r="151" spans="2:44" ht="15.75" customHeight="1" thickBot="1" x14ac:dyDescent="0.3">
      <c r="B151" s="69" t="s">
        <v>171</v>
      </c>
      <c r="D151" s="125">
        <v>7.4999999999999997E-2</v>
      </c>
      <c r="E151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)*D151,0)</f>
        <v>54065</v>
      </c>
      <c r="F151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)*D151</f>
        <v>16971.736090110633</v>
      </c>
      <c r="G151" s="105">
        <f>INDEX('Sites per Region'!$A:$Z, MATCH(B151,'Sites per Region'!$B:$B,0), MATCH(C$142,'Sites per Region'!$8:$8, 0))</f>
        <v>39</v>
      </c>
      <c r="H151" s="105">
        <f>_xlfn.LET(
_xlpm.data,'Base Stations Profiles'!$B:$E,
_xlpm.colSite,INDEX(_xlpm.data,,1),
_xlpm.colData,INDEX(_xlpm.data,,2),
_xlpm.rowRegion,MATCH(B151,_xlpm.colSite,0),
_xlpm.rowUser,MATCH("Maximum Simultaneously Active Users per Site",_xlfn.DROP(_xlpm.colSite,_xlpm.rowRegion),0),
INDEX(_xlpm.colData,_xlpm.rowRegion+_xlpm.rowUser))</f>
        <v>750</v>
      </c>
      <c r="I151" s="124">
        <f>_xlfn.LET(
    _xlpm.data, 'Base Stations Profiles'!$B:$F,
    _xlpm.colSite, INDEX(_xlpm.data,,1),
    _xlpm.colauto, INDEX(_xlpm.data,,3),
    _xlpm.colData, INDEX(_xlpm.data,,2),
    _xlpm.rowRegion, MATCH(B151, _xlpm.colSite, 0),
    _xlpm.rowThroughput, MATCH("Maximum Throughput for Downlink per Site", _xlfn.DROP(_xlpm.colSite, _xlpm.rowRegion), 0),
    IF(INDEX(_xlpm.colauto, _xlpm.rowRegion + _xlpm.rowThroughput)='Model Configurator Sup'!$M$4,VLOOKUP(B151,'Base Stations Parameters'!$B:$E,4,0),INDEX(_xlpm.colData, _xlpm.rowRegion + _xlpm.rowThroughput))
)</f>
        <v>5000</v>
      </c>
      <c r="J151" s="106">
        <f ca="1">IF($G151&lt;=0,0,E151/(H151*$G151))</f>
        <v>1.8483760683760684</v>
      </c>
      <c r="K151" s="106">
        <f ca="1">IF($G151&lt;=0,0,F151/(I151*$G151))</f>
        <v>8.7034544051849405E-2</v>
      </c>
      <c r="L151" s="130">
        <f>VLOOKUP(B151,'Base Stations Parameters'!$B:$D,3,0)</f>
        <v>95000</v>
      </c>
      <c r="M151">
        <f ca="1">ROUNDUP(MAX(E151/H151-G151,F151/I151-G151,0),0)</f>
        <v>34</v>
      </c>
      <c r="N151" s="130">
        <f ca="1">M151*L151</f>
        <v>3230000</v>
      </c>
      <c r="Q151" s="69" t="s">
        <v>171</v>
      </c>
      <c r="S151" s="125">
        <v>7.4999999999999997E-2</v>
      </c>
      <c r="T151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)*S151,0)</f>
        <v>64911</v>
      </c>
      <c r="U151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)*S151</f>
        <v>18673.512289623537</v>
      </c>
      <c r="V151" s="105">
        <f>INDEX('Sites per Region'!$A:$AO, MATCH(Q151,'Sites per Region'!$B:$B,0), MATCH(R$142,'Sites per Region'!$8:$8, 0))</f>
        <v>39</v>
      </c>
      <c r="W151" s="105">
        <f>_xlfn.LET(
_xlpm.data,'Base Stations Profiles'!$B:$T,
_xlpm.colSite,INDEX(_xlpm.data,,1),
_xlpm.colData,INDEX(_xlpm.data,,2),
_xlpm.rowRegion,MATCH(Q151,_xlpm.colSite,0),
_xlpm.rowUser,MATCH("Maximum Simultaneously Active Users per Site",_xlfn.DROP(_xlpm.colSite,_xlpm.rowRegion),0),
INDEX(_xlpm.colData,_xlpm.rowRegion+_xlpm.rowUser))</f>
        <v>750</v>
      </c>
      <c r="X151" s="124">
        <f>_xlfn.LET(
    _xlpm.data, 'Base Stations Profiles'!$B:$U,
    _xlpm.colSite, INDEX(_xlpm.data,,1),
    _xlpm.colauto, INDEX(_xlpm.data,,3),
    _xlpm.colData, INDEX(_xlpm.data,,2),
    _xlpm.rowRegion, MATCH(Q151, _xlpm.colSite, 0),
    _xlpm.rowThroughput, MATCH("Maximum Throughput for Downlink per Site", _xlfn.DROP(_xlpm.colSite, _xlpm.rowRegion), 0),
    IF(INDEX(_xlpm.colauto, _xlpm.rowRegion + _xlpm.rowThroughput)='Model Configurator Sup'!$M$4,VLOOKUP(Q151,'Base Stations Parameters'!$B:$T,4,0),INDEX(_xlpm.colData, _xlpm.rowRegion + _xlpm.rowThroughput))
)</f>
        <v>5000</v>
      </c>
      <c r="Y151" s="106">
        <f ca="1">IF($V151&lt;=0,0,T151/(W151*$V151))</f>
        <v>2.219179487179487</v>
      </c>
      <c r="Z151" s="106">
        <f ca="1">IF($V151&lt;=0,0,U151/(X151*$V151))</f>
        <v>9.5761601485248912E-2</v>
      </c>
      <c r="AA151" s="130">
        <f>VLOOKUP(Q151,'Base Stations Parameters'!$B:$S,3,0)</f>
        <v>95000</v>
      </c>
      <c r="AB151">
        <f ca="1">ROUNDUP(MAX(T151/W151-V151,U151/X151-V151,0),0)</f>
        <v>48</v>
      </c>
      <c r="AC151" s="130">
        <f ca="1">AB151*AA151</f>
        <v>4560000</v>
      </c>
      <c r="AF151" s="69" t="s">
        <v>171</v>
      </c>
      <c r="AH151" s="125">
        <v>7.4999999999999997E-2</v>
      </c>
      <c r="AI151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)*AH151,0)</f>
        <v>109691</v>
      </c>
      <c r="AJ151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)*AH151</f>
        <v>25103.716644409611</v>
      </c>
      <c r="AK151" s="105">
        <f>INDEX('Sites per Region'!$A:$BD, MATCH(AF151,'Sites per Region'!$B:$B,0), MATCH(AG$142,'Sites per Region'!$8:$8, 0))</f>
        <v>39</v>
      </c>
      <c r="AL151" s="105">
        <f>_xlfn.LET(
_xlpm.data,'Base Stations Profiles'!$B:$AI,
_xlpm.colSite,INDEX(_xlpm.data,,1),
_xlpm.colData,INDEX(_xlpm.data,,2),
_xlpm.rowRegion,MATCH(AF151,_xlpm.colSite,0),
_xlpm.rowUser,MATCH("Maximum Simultaneously Active Users per Site",_xlfn.DROP(_xlpm.colSite,_xlpm.rowRegion),0),
INDEX(_xlpm.colData,_xlpm.rowRegion+_xlpm.rowUser))</f>
        <v>750</v>
      </c>
      <c r="AM151" s="124">
        <f>_xlfn.LET(
    _xlpm.data, 'Base Stations Profiles'!$B:$AJ,
    _xlpm.colSite, INDEX(_xlpm.data,,1),
    _xlpm.colauto, INDEX(_xlpm.data,,3),
    _xlpm.colData, INDEX(_xlpm.data,,2),
    _xlpm.rowRegion, MATCH(AF151, _xlpm.colSite, 0),
    _xlpm.rowThroughput, MATCH("Maximum Throughput for Downlink per Site", _xlfn.DROP(_xlpm.colSite, _xlpm.rowRegion), 0),
    IF(INDEX(_xlpm.colauto, _xlpm.rowRegion + _xlpm.rowThroughput)='Model Configurator Sup'!$M$4,VLOOKUP(AF151,'Base Stations Parameters'!$B:$AI,4,0),INDEX(_xlpm.colData, _xlpm.rowRegion + _xlpm.rowThroughput))
)</f>
        <v>5000</v>
      </c>
      <c r="AN151" s="106">
        <f ca="1">IF($AK151&lt;=0,0,AI151/(AL151*$AK151))</f>
        <v>3.7501196581196581</v>
      </c>
      <c r="AO151" s="106">
        <f ca="1">IF($AK151&lt;=0,0,AJ151/(AM151*$AK151))</f>
        <v>0.12873700843286981</v>
      </c>
      <c r="AP151" s="130">
        <f>VLOOKUP(AF151,'Base Stations Parameters'!$B:$AH,3,0)</f>
        <v>95000</v>
      </c>
      <c r="AQ151">
        <f ca="1">ROUNDUP(MAX(AI151/AL151-AK151,AJ151/AM151-AK151,0),0)</f>
        <v>108</v>
      </c>
      <c r="AR151" s="130">
        <f ca="1">AQ151*AP151</f>
        <v>10260000</v>
      </c>
    </row>
    <row r="152" spans="2:44" ht="15.75" customHeight="1" thickBot="1" x14ac:dyDescent="0.3">
      <c r="B152" s="69" t="s">
        <v>248</v>
      </c>
      <c r="D152" s="125">
        <v>0.05</v>
      </c>
      <c r="E152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)*D152,0)</f>
        <v>36043</v>
      </c>
      <c r="F152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)*D152</f>
        <v>11314.490726740423</v>
      </c>
      <c r="G152" s="105">
        <f>INDEX('Sites per Region'!$A:$Z, MATCH(B152,'Sites per Region'!$B:$B,0), MATCH(C$142,'Sites per Region'!$8:$8, 0))</f>
        <v>37.5</v>
      </c>
      <c r="H152" s="105">
        <f>_xlfn.LET(
_xlpm.data,'Base Stations Profiles'!$B:$E,
_xlpm.colSite,INDEX(_xlpm.data,,1),
_xlpm.colData,INDEX(_xlpm.data,,2),
_xlpm.rowRegion,MATCH(B152,_xlpm.colSite,0),
_xlpm.rowUser,MATCH("Maximum Simultaneously Active Users per Site",_xlfn.DROP(_xlpm.colSite,_xlpm.rowRegion),0),
INDEX(_xlpm.colData,_xlpm.rowRegion+_xlpm.rowUser))</f>
        <v>1500</v>
      </c>
      <c r="I152" s="124">
        <f>_xlfn.LET(
    _xlpm.data, 'Base Stations Profiles'!$B:$F,
    _xlpm.colSite, INDEX(_xlpm.data,,1),
    _xlpm.colauto, INDEX(_xlpm.data,,3),
    _xlpm.colData, INDEX(_xlpm.data,,2),
    _xlpm.rowRegion, MATCH(B152, _xlpm.colSite, 0),
    _xlpm.rowThroughput, MATCH("Maximum Throughput for Downlink per Site", _xlfn.DROP(_xlpm.colSite, _xlpm.rowRegion), 0),
    IF(INDEX(_xlpm.colauto, _xlpm.rowRegion + _xlpm.rowThroughput)='Model Configurator Sup'!$M$4,VLOOKUP(B152,'Base Stations Parameters'!$B:$E,4,0),INDEX(_xlpm.colData, _xlpm.rowRegion + _xlpm.rowThroughput))
)</f>
        <v>2000</v>
      </c>
      <c r="J152" s="106">
        <f ca="1">IF($G152&lt;=0,0,E152/(H152*$G152))</f>
        <v>0.64076444444444447</v>
      </c>
      <c r="K152" s="106">
        <f ca="1">IF($G152&lt;=0,0,F152/(I152*$G152))</f>
        <v>0.15085987635653897</v>
      </c>
      <c r="L152" s="130">
        <f>VLOOKUP(B152,'Base Stations Parameters'!$B:$D,3,0)</f>
        <v>95000</v>
      </c>
      <c r="M152">
        <f ca="1">ROUNDUP(MAX(E152/H152-G152,F152/I152-G152,0),0)</f>
        <v>0</v>
      </c>
      <c r="N152" s="130">
        <f ca="1">M152*L152</f>
        <v>0</v>
      </c>
      <c r="Q152" s="69" t="s">
        <v>248</v>
      </c>
      <c r="S152" s="125">
        <v>0.05</v>
      </c>
      <c r="T152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)*S152,0)</f>
        <v>43274</v>
      </c>
      <c r="U152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)*S152</f>
        <v>12449.00819308236</v>
      </c>
      <c r="V152" s="105">
        <f>INDEX('Sites per Region'!$A:$AO, MATCH(Q152,'Sites per Region'!$B:$B,0), MATCH(R$142,'Sites per Region'!$8:$8, 0))</f>
        <v>37.5</v>
      </c>
      <c r="W152" s="105">
        <f>_xlfn.LET(
_xlpm.data,'Base Stations Profiles'!$B:$T,
_xlpm.colSite,INDEX(_xlpm.data,,1),
_xlpm.colData,INDEX(_xlpm.data,,2),
_xlpm.rowRegion,MATCH(Q152,_xlpm.colSite,0),
_xlpm.rowUser,MATCH("Maximum Simultaneously Active Users per Site",_xlfn.DROP(_xlpm.colSite,_xlpm.rowRegion),0),
INDEX(_xlpm.colData,_xlpm.rowRegion+_xlpm.rowUser))</f>
        <v>1500</v>
      </c>
      <c r="X152" s="124">
        <f>_xlfn.LET(
    _xlpm.data, 'Base Stations Profiles'!$B:$U,
    _xlpm.colSite, INDEX(_xlpm.data,,1),
    _xlpm.colauto, INDEX(_xlpm.data,,3),
    _xlpm.colData, INDEX(_xlpm.data,,2),
    _xlpm.rowRegion, MATCH(Q152, _xlpm.colSite, 0),
    _xlpm.rowThroughput, MATCH("Maximum Throughput for Downlink per Site", _xlfn.DROP(_xlpm.colSite, _xlpm.rowRegion), 0),
    IF(INDEX(_xlpm.colauto, _xlpm.rowRegion + _xlpm.rowThroughput)='Model Configurator Sup'!$M$4,VLOOKUP(Q152,'Base Stations Parameters'!$B:$T,4,0),INDEX(_xlpm.colData, _xlpm.rowRegion + _xlpm.rowThroughput))
)</f>
        <v>2000</v>
      </c>
      <c r="Y152" s="106">
        <f ca="1">IF($V152&lt;=0,0,T152/(W152*$V152))</f>
        <v>0.76931555555555553</v>
      </c>
      <c r="Z152" s="106">
        <f ca="1">IF($V152&lt;=0,0,U152/(X152*$V152))</f>
        <v>0.16598677590776481</v>
      </c>
      <c r="AA152" s="130">
        <f>VLOOKUP(Q152,'Base Stations Parameters'!$B:$S,3,0)</f>
        <v>95000</v>
      </c>
      <c r="AB152">
        <f ca="1">ROUNDUP(MAX(T152/W152-V152,U152/X152-V152,0),0)</f>
        <v>0</v>
      </c>
      <c r="AC152" s="130">
        <f ca="1">AB152*AA152</f>
        <v>0</v>
      </c>
      <c r="AF152" s="69" t="s">
        <v>248</v>
      </c>
      <c r="AH152" s="125">
        <v>0.05</v>
      </c>
      <c r="AI152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)*AH152,0)</f>
        <v>73127</v>
      </c>
      <c r="AJ152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)*AH152</f>
        <v>16735.811096273075</v>
      </c>
      <c r="AK152" s="105">
        <f>INDEX('Sites per Region'!$A:$BD, MATCH(AF152,'Sites per Region'!$B:$B,0), MATCH(AG$142,'Sites per Region'!$8:$8, 0))</f>
        <v>37.5</v>
      </c>
      <c r="AL152" s="105">
        <f>_xlfn.LET(
_xlpm.data,'Base Stations Profiles'!$B:$AI,
_xlpm.colSite,INDEX(_xlpm.data,,1),
_xlpm.colData,INDEX(_xlpm.data,,2),
_xlpm.rowRegion,MATCH(AF152,_xlpm.colSite,0),
_xlpm.rowUser,MATCH("Maximum Simultaneously Active Users per Site",_xlfn.DROP(_xlpm.colSite,_xlpm.rowRegion),0),
INDEX(_xlpm.colData,_xlpm.rowRegion+_xlpm.rowUser))</f>
        <v>1500</v>
      </c>
      <c r="AM152" s="124">
        <f>_xlfn.LET(
    _xlpm.data, 'Base Stations Profiles'!$B:$AJ,
    _xlpm.colSite, INDEX(_xlpm.data,,1),
    _xlpm.colauto, INDEX(_xlpm.data,,3),
    _xlpm.colData, INDEX(_xlpm.data,,2),
    _xlpm.rowRegion, MATCH(AF152, _xlpm.colSite, 0),
    _xlpm.rowThroughput, MATCH("Maximum Throughput for Downlink per Site", _xlfn.DROP(_xlpm.colSite, _xlpm.rowRegion), 0),
    IF(INDEX(_xlpm.colauto, _xlpm.rowRegion + _xlpm.rowThroughput)='Model Configurator Sup'!$M$4,VLOOKUP(AF152,'Base Stations Parameters'!$B:$AI,4,0),INDEX(_xlpm.colData, _xlpm.rowRegion + _xlpm.rowThroughput))
)</f>
        <v>2000</v>
      </c>
      <c r="AN152" s="106">
        <f ca="1">IF($AK152&lt;=0,0,AI152/(AL152*$AK152))</f>
        <v>1.3000355555555556</v>
      </c>
      <c r="AO152" s="106">
        <f ca="1">IF($AK152&lt;=0,0,AJ152/(AM152*$AK152))</f>
        <v>0.22314414795030768</v>
      </c>
      <c r="AP152" s="130">
        <f>VLOOKUP(AF152,'Base Stations Parameters'!$B:$AH,3,0)</f>
        <v>95000</v>
      </c>
      <c r="AQ152">
        <f ca="1">ROUNDUP(MAX(AI152/AL152-AK152,AJ152/AM152-AK152,0),0)</f>
        <v>12</v>
      </c>
      <c r="AR152" s="130">
        <f ca="1">AQ152*AP152</f>
        <v>1140000</v>
      </c>
    </row>
    <row r="153" spans="2:44" ht="15.75" customHeight="1" thickBot="1" x14ac:dyDescent="0.3">
      <c r="B153" s="69" t="s">
        <v>172</v>
      </c>
      <c r="D153" s="125">
        <v>0.05</v>
      </c>
      <c r="E153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)*D153,0)</f>
        <v>36043</v>
      </c>
      <c r="F153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)*D153</f>
        <v>11314.490726740423</v>
      </c>
      <c r="G153" s="105">
        <f>INDEX('Sites per Region'!$A:$Z, MATCH(B153,'Sites per Region'!$B:$B,0), MATCH(C$142,'Sites per Region'!$8:$8, 0))</f>
        <v>37.5</v>
      </c>
      <c r="H153" s="105">
        <f>_xlfn.LET(
_xlpm.data,'Base Stations Profiles'!$B:$E,
_xlpm.colSite,INDEX(_xlpm.data,,1),
_xlpm.colData,INDEX(_xlpm.data,,2),
_xlpm.rowRegion,MATCH(B153,_xlpm.colSite,0),
_xlpm.rowUser,MATCH("Maximum Simultaneously Active Users per Site",_xlfn.DROP(_xlpm.colSite,_xlpm.rowRegion),0),
INDEX(_xlpm.colData,_xlpm.rowRegion+_xlpm.rowUser))</f>
        <v>1500</v>
      </c>
      <c r="I153" s="124">
        <f>_xlfn.LET(
    _xlpm.data, 'Base Stations Profiles'!$B:$F,
    _xlpm.colSite, INDEX(_xlpm.data,,1),
    _xlpm.colauto, INDEX(_xlpm.data,,3),
    _xlpm.colData, INDEX(_xlpm.data,,2),
    _xlpm.rowRegion, MATCH(B153, _xlpm.colSite, 0),
    _xlpm.rowThroughput, MATCH("Maximum Throughput for Downlink per Site", _xlfn.DROP(_xlpm.colSite, _xlpm.rowRegion), 0),
    IF(INDEX(_xlpm.colauto, _xlpm.rowRegion + _xlpm.rowThroughput)='Model Configurator Sup'!$M$4,VLOOKUP(B153,'Base Stations Parameters'!$B:$E,4,0),INDEX(_xlpm.colData, _xlpm.rowRegion + _xlpm.rowThroughput))
)</f>
        <v>2000</v>
      </c>
      <c r="J153" s="106">
        <f ca="1">IF($G153&lt;=0,0,E153/(H153*$G153))</f>
        <v>0.64076444444444447</v>
      </c>
      <c r="K153" s="106">
        <f ca="1">IF($G153&lt;=0,0,F153/(I153*$G153))</f>
        <v>0.15085987635653897</v>
      </c>
      <c r="L153" s="130">
        <f>VLOOKUP(B153,'Base Stations Parameters'!$B:$D,3,0)</f>
        <v>80000</v>
      </c>
      <c r="M153">
        <f ca="1">ROUNDUP(MAX(E153/H153-G153,F153/I153-G153,0),0)</f>
        <v>0</v>
      </c>
      <c r="N153" s="130">
        <f ca="1">M153*L153</f>
        <v>0</v>
      </c>
      <c r="Q153" s="69" t="s">
        <v>172</v>
      </c>
      <c r="S153" s="125">
        <v>0.05</v>
      </c>
      <c r="T153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)*S153,0)</f>
        <v>43274</v>
      </c>
      <c r="U153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)*S153</f>
        <v>12449.00819308236</v>
      </c>
      <c r="V153" s="105">
        <f>INDEX('Sites per Region'!$A:$AO, MATCH(Q153,'Sites per Region'!$B:$B,0), MATCH(R$142,'Sites per Region'!$8:$8, 0))</f>
        <v>37.5</v>
      </c>
      <c r="W153" s="105">
        <f>_xlfn.LET(
_xlpm.data,'Base Stations Profiles'!$B:$T,
_xlpm.colSite,INDEX(_xlpm.data,,1),
_xlpm.colData,INDEX(_xlpm.data,,2),
_xlpm.rowRegion,MATCH(Q153,_xlpm.colSite,0),
_xlpm.rowUser,MATCH("Maximum Simultaneously Active Users per Site",_xlfn.DROP(_xlpm.colSite,_xlpm.rowRegion),0),
INDEX(_xlpm.colData,_xlpm.rowRegion+_xlpm.rowUser))</f>
        <v>1500</v>
      </c>
      <c r="X153" s="124">
        <f>_xlfn.LET(
    _xlpm.data, 'Base Stations Profiles'!$B:$U,
    _xlpm.colSite, INDEX(_xlpm.data,,1),
    _xlpm.colauto, INDEX(_xlpm.data,,3),
    _xlpm.colData, INDEX(_xlpm.data,,2),
    _xlpm.rowRegion, MATCH(Q153, _xlpm.colSite, 0),
    _xlpm.rowThroughput, MATCH("Maximum Throughput for Downlink per Site", _xlfn.DROP(_xlpm.colSite, _xlpm.rowRegion), 0),
    IF(INDEX(_xlpm.colauto, _xlpm.rowRegion + _xlpm.rowThroughput)='Model Configurator Sup'!$M$4,VLOOKUP(Q153,'Base Stations Parameters'!$B:$T,4,0),INDEX(_xlpm.colData, _xlpm.rowRegion + _xlpm.rowThroughput))
)</f>
        <v>2000</v>
      </c>
      <c r="Y153" s="106">
        <f ca="1">IF($V153&lt;=0,0,T153/(W153*$V153))</f>
        <v>0.76931555555555553</v>
      </c>
      <c r="Z153" s="106">
        <f ca="1">IF($V153&lt;=0,0,U153/(X153*$V153))</f>
        <v>0.16598677590776481</v>
      </c>
      <c r="AA153" s="130">
        <f>VLOOKUP(Q153,'Base Stations Parameters'!$B:$S,3,0)</f>
        <v>80000</v>
      </c>
      <c r="AB153">
        <f ca="1">ROUNDUP(MAX(T153/W153-V153,U153/X153-V153,0),0)</f>
        <v>0</v>
      </c>
      <c r="AC153" s="130">
        <f ca="1">AB153*AA153</f>
        <v>0</v>
      </c>
      <c r="AF153" s="69" t="s">
        <v>172</v>
      </c>
      <c r="AH153" s="125">
        <v>0.05</v>
      </c>
      <c r="AI153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)*AH153,0)</f>
        <v>73127</v>
      </c>
      <c r="AJ153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)*AH153</f>
        <v>16735.811096273075</v>
      </c>
      <c r="AK153" s="105">
        <f>INDEX('Sites per Region'!$A:$BD, MATCH(AF153,'Sites per Region'!$B:$B,0), MATCH(AG$142,'Sites per Region'!$8:$8, 0))</f>
        <v>37.5</v>
      </c>
      <c r="AL153" s="105">
        <f>_xlfn.LET(
_xlpm.data,'Base Stations Profiles'!$B:$AI,
_xlpm.colSite,INDEX(_xlpm.data,,1),
_xlpm.colData,INDEX(_xlpm.data,,2),
_xlpm.rowRegion,MATCH(AF153,_xlpm.colSite,0),
_xlpm.rowUser,MATCH("Maximum Simultaneously Active Users per Site",_xlfn.DROP(_xlpm.colSite,_xlpm.rowRegion),0),
INDEX(_xlpm.colData,_xlpm.rowRegion+_xlpm.rowUser))</f>
        <v>1500</v>
      </c>
      <c r="AM153" s="124">
        <f>_xlfn.LET(
    _xlpm.data, 'Base Stations Profiles'!$B:$AJ,
    _xlpm.colSite, INDEX(_xlpm.data,,1),
    _xlpm.colauto, INDEX(_xlpm.data,,3),
    _xlpm.colData, INDEX(_xlpm.data,,2),
    _xlpm.rowRegion, MATCH(AF153, _xlpm.colSite, 0),
    _xlpm.rowThroughput, MATCH("Maximum Throughput for Downlink per Site", _xlfn.DROP(_xlpm.colSite, _xlpm.rowRegion), 0),
    IF(INDEX(_xlpm.colauto, _xlpm.rowRegion + _xlpm.rowThroughput)='Model Configurator Sup'!$M$4,VLOOKUP(AF153,'Base Stations Parameters'!$B:$AI,4,0),INDEX(_xlpm.colData, _xlpm.rowRegion + _xlpm.rowThroughput))
)</f>
        <v>2000</v>
      </c>
      <c r="AN153" s="106">
        <f ca="1">IF($AK153&lt;=0,0,AI153/(AL153*$AK153))</f>
        <v>1.3000355555555556</v>
      </c>
      <c r="AO153" s="106">
        <f ca="1">IF($AK153&lt;=0,0,AJ153/(AM153*$AK153))</f>
        <v>0.22314414795030768</v>
      </c>
      <c r="AP153" s="130">
        <f>VLOOKUP(AF153,'Base Stations Parameters'!$B:$AH,3,0)</f>
        <v>80000</v>
      </c>
      <c r="AQ153">
        <f ca="1">ROUNDUP(MAX(AI153/AL153-AK153,AJ153/AM153-AK153,0),0)</f>
        <v>12</v>
      </c>
      <c r="AR153" s="130">
        <f ca="1">AQ153*AP153</f>
        <v>960000</v>
      </c>
    </row>
    <row r="154" spans="2:44" ht="15.75" customHeight="1" thickBot="1" x14ac:dyDescent="0.3">
      <c r="B154" s="69" t="s">
        <v>249</v>
      </c>
      <c r="D154" s="125">
        <v>0.05</v>
      </c>
      <c r="E154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)*D154,0)</f>
        <v>36043</v>
      </c>
      <c r="F154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)*D154</f>
        <v>11314.490726740423</v>
      </c>
      <c r="G154" s="105">
        <f>INDEX('Sites per Region'!$A:$Z, MATCH(B154,'Sites per Region'!$B:$B,0), MATCH(C$142,'Sites per Region'!$8:$8, 0))</f>
        <v>33</v>
      </c>
      <c r="H154" s="105">
        <f>_xlfn.LET(
_xlpm.data,'Base Stations Profiles'!$B:$E,
_xlpm.colSite,INDEX(_xlpm.data,,1),
_xlpm.colData,INDEX(_xlpm.data,,2),
_xlpm.rowRegion,MATCH(B154,_xlpm.colSite,0),
_xlpm.rowUser,MATCH("Maximum Simultaneously Active Users per Site",_xlfn.DROP(_xlpm.colSite,_xlpm.rowRegion),0),
INDEX(_xlpm.colData,_xlpm.rowRegion+_xlpm.rowUser))</f>
        <v>800</v>
      </c>
      <c r="I154" s="124">
        <f>_xlfn.LET(
    _xlpm.data, 'Base Stations Profiles'!$B:$F,
    _xlpm.colSite, INDEX(_xlpm.data,,1),
    _xlpm.colauto, INDEX(_xlpm.data,,3),
    _xlpm.colData, INDEX(_xlpm.data,,2),
    _xlpm.rowRegion, MATCH(B154, _xlpm.colSite, 0),
    _xlpm.rowThroughput, MATCH("Maximum Throughput for Downlink per Site", _xlfn.DROP(_xlpm.colSite, _xlpm.rowRegion), 0),
    IF(INDEX(_xlpm.colauto, _xlpm.rowRegion + _xlpm.rowThroughput)='Model Configurator Sup'!$M$4,VLOOKUP(B154,'Base Stations Parameters'!$B:$E,4,0),INDEX(_xlpm.colData, _xlpm.rowRegion + _xlpm.rowThroughput))
)</f>
        <v>1200</v>
      </c>
      <c r="J154" s="106">
        <f ca="1">IF($G154&lt;=0,0,E154/(H154*$G154))</f>
        <v>1.3652651515151515</v>
      </c>
      <c r="K154" s="106">
        <f ca="1">IF($G154&lt;=0,0,F154/(I154*$G154))</f>
        <v>0.28571946279647531</v>
      </c>
      <c r="L154" s="130">
        <f>VLOOKUP(B154,'Base Stations Parameters'!$B:$D,3,0)</f>
        <v>80000</v>
      </c>
      <c r="M154">
        <f ca="1">ROUNDUP(MAX(E154/H154-G154,F154/I154-G154,0),0)</f>
        <v>13</v>
      </c>
      <c r="N154" s="130">
        <f ca="1">M154*L154</f>
        <v>1040000</v>
      </c>
      <c r="Q154" s="69" t="s">
        <v>249</v>
      </c>
      <c r="S154" s="125">
        <v>0.05</v>
      </c>
      <c r="T154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)*S154,0)</f>
        <v>43274</v>
      </c>
      <c r="U154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)*S154</f>
        <v>12449.00819308236</v>
      </c>
      <c r="V154" s="105">
        <f>INDEX('Sites per Region'!$A:$AO, MATCH(Q154,'Sites per Region'!$B:$B,0), MATCH(R$142,'Sites per Region'!$8:$8, 0))</f>
        <v>33</v>
      </c>
      <c r="W154" s="105">
        <f>_xlfn.LET(
_xlpm.data,'Base Stations Profiles'!$B:$T,
_xlpm.colSite,INDEX(_xlpm.data,,1),
_xlpm.colData,INDEX(_xlpm.data,,2),
_xlpm.rowRegion,MATCH(Q154,_xlpm.colSite,0),
_xlpm.rowUser,MATCH("Maximum Simultaneously Active Users per Site",_xlfn.DROP(_xlpm.colSite,_xlpm.rowRegion),0),
INDEX(_xlpm.colData,_xlpm.rowRegion+_xlpm.rowUser))</f>
        <v>800</v>
      </c>
      <c r="X154" s="124">
        <f>_xlfn.LET(
    _xlpm.data, 'Base Stations Profiles'!$B:$U,
    _xlpm.colSite, INDEX(_xlpm.data,,1),
    _xlpm.colauto, INDEX(_xlpm.data,,3),
    _xlpm.colData, INDEX(_xlpm.data,,2),
    _xlpm.rowRegion, MATCH(Q154, _xlpm.colSite, 0),
    _xlpm.rowThroughput, MATCH("Maximum Throughput for Downlink per Site", _xlfn.DROP(_xlpm.colSite, _xlpm.rowRegion), 0),
    IF(INDEX(_xlpm.colauto, _xlpm.rowRegion + _xlpm.rowThroughput)='Model Configurator Sup'!$M$4,VLOOKUP(Q154,'Base Stations Parameters'!$B:$T,4,0),INDEX(_xlpm.colData, _xlpm.rowRegion + _xlpm.rowThroughput))
)</f>
        <v>1200</v>
      </c>
      <c r="Y154" s="106">
        <f ca="1">IF($V154&lt;=0,0,T154/(W154*$V154))</f>
        <v>1.6391666666666667</v>
      </c>
      <c r="Z154" s="106">
        <f ca="1">IF($V154&lt;=0,0,U154/(X154*$V154))</f>
        <v>0.31436889376470606</v>
      </c>
      <c r="AA154" s="130">
        <f>VLOOKUP(Q154,'Base Stations Parameters'!$B:$S,3,0)</f>
        <v>80000</v>
      </c>
      <c r="AB154">
        <f ca="1">ROUNDUP(MAX(T154/W154-V154,U154/X154-V154,0),0)</f>
        <v>22</v>
      </c>
      <c r="AC154" s="130">
        <f ca="1">AB154*AA154</f>
        <v>1760000</v>
      </c>
      <c r="AF154" s="69" t="s">
        <v>249</v>
      </c>
      <c r="AH154" s="125">
        <v>0.05</v>
      </c>
      <c r="AI154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)*AH154,0)</f>
        <v>73127</v>
      </c>
      <c r="AJ154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)*AH154</f>
        <v>16735.811096273075</v>
      </c>
      <c r="AK154" s="105">
        <f>INDEX('Sites per Region'!$A:$BD, MATCH(AF154,'Sites per Region'!$B:$B,0), MATCH(AG$142,'Sites per Region'!$8:$8, 0))</f>
        <v>33</v>
      </c>
      <c r="AL154" s="105">
        <f>_xlfn.LET(
_xlpm.data,'Base Stations Profiles'!$B:$AI,
_xlpm.colSite,INDEX(_xlpm.data,,1),
_xlpm.colData,INDEX(_xlpm.data,,2),
_xlpm.rowRegion,MATCH(AF154,_xlpm.colSite,0),
_xlpm.rowUser,MATCH("Maximum Simultaneously Active Users per Site",_xlfn.DROP(_xlpm.colSite,_xlpm.rowRegion),0),
INDEX(_xlpm.colData,_xlpm.rowRegion+_xlpm.rowUser))</f>
        <v>800</v>
      </c>
      <c r="AM154" s="124">
        <f>_xlfn.LET(
    _xlpm.data, 'Base Stations Profiles'!$B:$AJ,
    _xlpm.colSite, INDEX(_xlpm.data,,1),
    _xlpm.colauto, INDEX(_xlpm.data,,3),
    _xlpm.colData, INDEX(_xlpm.data,,2),
    _xlpm.rowRegion, MATCH(AF154, _xlpm.colSite, 0),
    _xlpm.rowThroughput, MATCH("Maximum Throughput for Downlink per Site", _xlfn.DROP(_xlpm.colSite, _xlpm.rowRegion), 0),
    IF(INDEX(_xlpm.colauto, _xlpm.rowRegion + _xlpm.rowThroughput)='Model Configurator Sup'!$M$4,VLOOKUP(AF154,'Base Stations Parameters'!$B:$AI,4,0),INDEX(_xlpm.colData, _xlpm.rowRegion + _xlpm.rowThroughput))
)</f>
        <v>1200</v>
      </c>
      <c r="AN154" s="106">
        <f ca="1">IF($AK154&lt;=0,0,AI154/(AL154*$AK154))</f>
        <v>2.7699621212121213</v>
      </c>
      <c r="AO154" s="106">
        <f ca="1">IF($AK154&lt;=0,0,AJ154/(AM154*$AK154))</f>
        <v>0.42262149233012819</v>
      </c>
      <c r="AP154" s="130">
        <f>VLOOKUP(AF154,'Base Stations Parameters'!$B:$AH,3,0)</f>
        <v>80000</v>
      </c>
      <c r="AQ154">
        <f ca="1">ROUNDUP(MAX(AI154/AL154-AK154,AJ154/AM154-AK154,0),0)</f>
        <v>59</v>
      </c>
      <c r="AR154" s="130">
        <f ca="1">AQ154*AP154</f>
        <v>4720000</v>
      </c>
    </row>
    <row r="155" spans="2:44" ht="15.75" customHeight="1" thickBot="1" x14ac:dyDescent="0.3">
      <c r="B155" s="69" t="s">
        <v>173</v>
      </c>
      <c r="D155" s="125">
        <v>0.05</v>
      </c>
      <c r="E155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)*D155,0)</f>
        <v>36043</v>
      </c>
      <c r="F155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)*D155</f>
        <v>11314.490726740423</v>
      </c>
      <c r="G155" s="105">
        <f>INDEX('Sites per Region'!$A:$Z, MATCH(B155,'Sites per Region'!$B:$B,0), MATCH(C$142,'Sites per Region'!$8:$8, 0))</f>
        <v>33</v>
      </c>
      <c r="H155" s="105">
        <f>_xlfn.LET(
_xlpm.data,'Base Stations Profiles'!$B:$E,
_xlpm.colSite,INDEX(_xlpm.data,,1),
_xlpm.colData,INDEX(_xlpm.data,,2),
_xlpm.rowRegion,MATCH(B155,_xlpm.colSite,0),
_xlpm.rowUser,MATCH("Maximum Simultaneously Active Users per Site",_xlfn.DROP(_xlpm.colSite,_xlpm.rowRegion),0),
INDEX(_xlpm.colData,_xlpm.rowRegion+_xlpm.rowUser))</f>
        <v>800</v>
      </c>
      <c r="I155" s="124">
        <f>_xlfn.LET(
    _xlpm.data, 'Base Stations Profiles'!$B:$F,
    _xlpm.colSite, INDEX(_xlpm.data,,1),
    _xlpm.colauto, INDEX(_xlpm.data,,3),
    _xlpm.colData, INDEX(_xlpm.data,,2),
    _xlpm.rowRegion, MATCH(B155, _xlpm.colSite, 0),
    _xlpm.rowThroughput, MATCH("Maximum Throughput for Downlink per Site", _xlfn.DROP(_xlpm.colSite, _xlpm.rowRegion), 0),
    IF(INDEX(_xlpm.colauto, _xlpm.rowRegion + _xlpm.rowThroughput)='Model Configurator Sup'!$M$4,VLOOKUP(B155,'Base Stations Parameters'!$B:$E,4,0),INDEX(_xlpm.colData, _xlpm.rowRegion + _xlpm.rowThroughput))
)</f>
        <v>1200</v>
      </c>
      <c r="J155" s="106">
        <f ca="1">IF($G155&lt;=0,0,E155/(H155*$G155))</f>
        <v>1.3652651515151515</v>
      </c>
      <c r="K155" s="106">
        <f ca="1">IF($G155&lt;=0,0,F155/(I155*$G155))</f>
        <v>0.28571946279647531</v>
      </c>
      <c r="L155" s="130">
        <f>VLOOKUP(B155,'Base Stations Parameters'!$B:$D,3,0)</f>
        <v>60000</v>
      </c>
      <c r="M155">
        <f ca="1">ROUNDUP(MAX(E155/H155-G155,F155/I155-G155,0),0)</f>
        <v>13</v>
      </c>
      <c r="N155" s="130">
        <f ca="1">M155*L155</f>
        <v>780000</v>
      </c>
      <c r="Q155" s="69" t="s">
        <v>173</v>
      </c>
      <c r="S155" s="125">
        <v>0.05</v>
      </c>
      <c r="T155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)*S155,0)</f>
        <v>43274</v>
      </c>
      <c r="U155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)*S155</f>
        <v>12449.00819308236</v>
      </c>
      <c r="V155" s="105">
        <f>INDEX('Sites per Region'!$A:$AO, MATCH(Q155,'Sites per Region'!$B:$B,0), MATCH(R$142,'Sites per Region'!$8:$8, 0))</f>
        <v>33</v>
      </c>
      <c r="W155" s="105">
        <f>_xlfn.LET(
_xlpm.data,'Base Stations Profiles'!$B:$T,
_xlpm.colSite,INDEX(_xlpm.data,,1),
_xlpm.colData,INDEX(_xlpm.data,,2),
_xlpm.rowRegion,MATCH(Q155,_xlpm.colSite,0),
_xlpm.rowUser,MATCH("Maximum Simultaneously Active Users per Site",_xlfn.DROP(_xlpm.colSite,_xlpm.rowRegion),0),
INDEX(_xlpm.colData,_xlpm.rowRegion+_xlpm.rowUser))</f>
        <v>800</v>
      </c>
      <c r="X155" s="124">
        <f>_xlfn.LET(
    _xlpm.data, 'Base Stations Profiles'!$B:$U,
    _xlpm.colSite, INDEX(_xlpm.data,,1),
    _xlpm.colauto, INDEX(_xlpm.data,,3),
    _xlpm.colData, INDEX(_xlpm.data,,2),
    _xlpm.rowRegion, MATCH(Q155, _xlpm.colSite, 0),
    _xlpm.rowThroughput, MATCH("Maximum Throughput for Downlink per Site", _xlfn.DROP(_xlpm.colSite, _xlpm.rowRegion), 0),
    IF(INDEX(_xlpm.colauto, _xlpm.rowRegion + _xlpm.rowThroughput)='Model Configurator Sup'!$M$4,VLOOKUP(Q155,'Base Stations Parameters'!$B:$T,4,0),INDEX(_xlpm.colData, _xlpm.rowRegion + _xlpm.rowThroughput))
)</f>
        <v>1200</v>
      </c>
      <c r="Y155" s="106">
        <f ca="1">IF($V155&lt;=0,0,T155/(W155*$V155))</f>
        <v>1.6391666666666667</v>
      </c>
      <c r="Z155" s="106">
        <f ca="1">IF($V155&lt;=0,0,U155/(X155*$V155))</f>
        <v>0.31436889376470606</v>
      </c>
      <c r="AA155" s="130">
        <f>VLOOKUP(Q155,'Base Stations Parameters'!$B:$S,3,0)</f>
        <v>60000</v>
      </c>
      <c r="AB155">
        <f ca="1">ROUNDUP(MAX(T155/W155-V155,U155/X155-V155,0),0)</f>
        <v>22</v>
      </c>
      <c r="AC155" s="130">
        <f ca="1">AB155*AA155</f>
        <v>1320000</v>
      </c>
      <c r="AF155" s="69" t="s">
        <v>173</v>
      </c>
      <c r="AH155" s="125">
        <v>0.05</v>
      </c>
      <c r="AI155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)*AH155,0)</f>
        <v>73127</v>
      </c>
      <c r="AJ155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)*AH155</f>
        <v>16735.811096273075</v>
      </c>
      <c r="AK155" s="105">
        <f>INDEX('Sites per Region'!$A:$BD, MATCH(AF155,'Sites per Region'!$B:$B,0), MATCH(AG$142,'Sites per Region'!$8:$8, 0))</f>
        <v>33</v>
      </c>
      <c r="AL155" s="105">
        <f>_xlfn.LET(
_xlpm.data,'Base Stations Profiles'!$B:$AI,
_xlpm.colSite,INDEX(_xlpm.data,,1),
_xlpm.colData,INDEX(_xlpm.data,,2),
_xlpm.rowRegion,MATCH(AF155,_xlpm.colSite,0),
_xlpm.rowUser,MATCH("Maximum Simultaneously Active Users per Site",_xlfn.DROP(_xlpm.colSite,_xlpm.rowRegion),0),
INDEX(_xlpm.colData,_xlpm.rowRegion+_xlpm.rowUser))</f>
        <v>800</v>
      </c>
      <c r="AM155" s="124">
        <f>_xlfn.LET(
    _xlpm.data, 'Base Stations Profiles'!$B:$AJ,
    _xlpm.colSite, INDEX(_xlpm.data,,1),
    _xlpm.colauto, INDEX(_xlpm.data,,3),
    _xlpm.colData, INDEX(_xlpm.data,,2),
    _xlpm.rowRegion, MATCH(AF155, _xlpm.colSite, 0),
    _xlpm.rowThroughput, MATCH("Maximum Throughput for Downlink per Site", _xlfn.DROP(_xlpm.colSite, _xlpm.rowRegion), 0),
    IF(INDEX(_xlpm.colauto, _xlpm.rowRegion + _xlpm.rowThroughput)='Model Configurator Sup'!$M$4,VLOOKUP(AF155,'Base Stations Parameters'!$B:$AI,4,0),INDEX(_xlpm.colData, _xlpm.rowRegion + _xlpm.rowThroughput))
)</f>
        <v>1200</v>
      </c>
      <c r="AN155" s="106">
        <f ca="1">IF($AK155&lt;=0,0,AI155/(AL155*$AK155))</f>
        <v>2.7699621212121213</v>
      </c>
      <c r="AO155" s="106">
        <f ca="1">IF($AK155&lt;=0,0,AJ155/(AM155*$AK155))</f>
        <v>0.42262149233012819</v>
      </c>
      <c r="AP155" s="130">
        <f>VLOOKUP(AF155,'Base Stations Parameters'!$B:$AH,3,0)</f>
        <v>60000</v>
      </c>
      <c r="AQ155">
        <f ca="1">ROUNDUP(MAX(AI155/AL155-AK155,AJ155/AM155-AK155,0),0)</f>
        <v>59</v>
      </c>
      <c r="AR155" s="130">
        <f ca="1">AQ155*AP155</f>
        <v>3540000</v>
      </c>
    </row>
    <row r="156" spans="2:44" ht="15.75" customHeight="1" thickBot="1" x14ac:dyDescent="0.3">
      <c r="B156" s="69" t="s">
        <v>250</v>
      </c>
      <c r="D156" s="125">
        <v>2.5000000000000001E-2</v>
      </c>
      <c r="E156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)*D156,0)</f>
        <v>18021</v>
      </c>
      <c r="F156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)*D156</f>
        <v>5657.2453633702116</v>
      </c>
      <c r="G156" s="105">
        <f>INDEX('Sites per Region'!$A:$Z, MATCH(B156,'Sites per Region'!$B:$B,0), MATCH(C$142,'Sites per Region'!$8:$8, 0))</f>
        <v>39</v>
      </c>
      <c r="H156" s="105">
        <f>_xlfn.LET(
_xlpm.data,'Base Stations Profiles'!$B:$E,
_xlpm.colSite,INDEX(_xlpm.data,,1),
_xlpm.colData,INDEX(_xlpm.data,,2),
_xlpm.rowRegion,MATCH(B156,_xlpm.colSite,0),
_xlpm.rowUser,MATCH("Maximum Simultaneously Active Users per Site",_xlfn.DROP(_xlpm.colSite,_xlpm.rowRegion),0),
INDEX(_xlpm.colData,_xlpm.rowRegion+_xlpm.rowUser))</f>
        <v>400</v>
      </c>
      <c r="I156" s="124">
        <f>_xlfn.LET(
    _xlpm.data, 'Base Stations Profiles'!$B:$F,
    _xlpm.colSite, INDEX(_xlpm.data,,1),
    _xlpm.colauto, INDEX(_xlpm.data,,3),
    _xlpm.colData, INDEX(_xlpm.data,,2),
    _xlpm.rowRegion, MATCH(B156, _xlpm.colSite, 0),
    _xlpm.rowThroughput, MATCH("Maximum Throughput for Downlink per Site", _xlfn.DROP(_xlpm.colSite, _xlpm.rowRegion), 0),
    IF(INDEX(_xlpm.colauto, _xlpm.rowRegion + _xlpm.rowThroughput)='Model Configurator Sup'!$M$4,VLOOKUP(B156,'Base Stations Parameters'!$B:$E,4,0),INDEX(_xlpm.colData, _xlpm.rowRegion + _xlpm.rowThroughput))
)</f>
        <v>300</v>
      </c>
      <c r="J156" s="106">
        <f ca="1">IF($G156&lt;=0,0,E156/(H156*$G156))</f>
        <v>1.1551923076923076</v>
      </c>
      <c r="K156" s="106">
        <f ca="1">IF($G156&lt;=0,0,F156/(I156*$G156))</f>
        <v>0.4835252447324967</v>
      </c>
      <c r="L156" s="130">
        <f>VLOOKUP(B156,'Base Stations Parameters'!$B:$D,3,0)</f>
        <v>60000</v>
      </c>
      <c r="M156">
        <f ca="1">ROUNDUP(MAX(E156/H156-G156,F156/I156-G156,0),0)</f>
        <v>7</v>
      </c>
      <c r="N156" s="130">
        <f ca="1">M156*L156</f>
        <v>420000</v>
      </c>
      <c r="Q156" s="69" t="s">
        <v>250</v>
      </c>
      <c r="S156" s="125">
        <v>2.5000000000000001E-2</v>
      </c>
      <c r="T156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)*S156,0)</f>
        <v>21637</v>
      </c>
      <c r="U156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)*S156</f>
        <v>6224.5040965411799</v>
      </c>
      <c r="V156" s="105">
        <f>INDEX('Sites per Region'!$A:$AO, MATCH(Q156,'Sites per Region'!$B:$B,0), MATCH(R$142,'Sites per Region'!$8:$8, 0))</f>
        <v>39</v>
      </c>
      <c r="W156" s="105">
        <f>_xlfn.LET(
_xlpm.data,'Base Stations Profiles'!$B:$T,
_xlpm.colSite,INDEX(_xlpm.data,,1),
_xlpm.colData,INDEX(_xlpm.data,,2),
_xlpm.rowRegion,MATCH(Q156,_xlpm.colSite,0),
_xlpm.rowUser,MATCH("Maximum Simultaneously Active Users per Site",_xlfn.DROP(_xlpm.colSite,_xlpm.rowRegion),0),
INDEX(_xlpm.colData,_xlpm.rowRegion+_xlpm.rowUser))</f>
        <v>400</v>
      </c>
      <c r="X156" s="124">
        <f>_xlfn.LET(
    _xlpm.data, 'Base Stations Profiles'!$B:$U,
    _xlpm.colSite, INDEX(_xlpm.data,,1),
    _xlpm.colauto, INDEX(_xlpm.data,,3),
    _xlpm.colData, INDEX(_xlpm.data,,2),
    _xlpm.rowRegion, MATCH(Q156, _xlpm.colSite, 0),
    _xlpm.rowThroughput, MATCH("Maximum Throughput for Downlink per Site", _xlfn.DROP(_xlpm.colSite, _xlpm.rowRegion), 0),
    IF(INDEX(_xlpm.colauto, _xlpm.rowRegion + _xlpm.rowThroughput)='Model Configurator Sup'!$M$4,VLOOKUP(Q156,'Base Stations Parameters'!$B:$T,4,0),INDEX(_xlpm.colData, _xlpm.rowRegion + _xlpm.rowThroughput))
)</f>
        <v>300</v>
      </c>
      <c r="Y156" s="106">
        <f ca="1">IF($V156&lt;=0,0,T156/(W156*$V156))</f>
        <v>1.3869871794871795</v>
      </c>
      <c r="Z156" s="106">
        <f ca="1">IF($V156&lt;=0,0,U156/(X156*$V156))</f>
        <v>0.53200889714027177</v>
      </c>
      <c r="AA156" s="130">
        <f>VLOOKUP(Q156,'Base Stations Parameters'!$B:$S,3,0)</f>
        <v>60000</v>
      </c>
      <c r="AB156">
        <f ca="1">ROUNDUP(MAX(T156/W156-V156,U156/X156-V156,0),0)</f>
        <v>16</v>
      </c>
      <c r="AC156" s="130">
        <f ca="1">AB156*AA156</f>
        <v>960000</v>
      </c>
      <c r="AF156" s="69" t="s">
        <v>250</v>
      </c>
      <c r="AH156" s="125">
        <v>2.5000000000000001E-2</v>
      </c>
      <c r="AI156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)*AH156,0)</f>
        <v>36563</v>
      </c>
      <c r="AJ156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)*AH156</f>
        <v>8367.9055481365376</v>
      </c>
      <c r="AK156" s="105">
        <f>INDEX('Sites per Region'!$A:$BD, MATCH(AF156,'Sites per Region'!$B:$B,0), MATCH(AG$142,'Sites per Region'!$8:$8, 0))</f>
        <v>39</v>
      </c>
      <c r="AL156" s="105">
        <f>_xlfn.LET(
_xlpm.data,'Base Stations Profiles'!$B:$AI,
_xlpm.colSite,INDEX(_xlpm.data,,1),
_xlpm.colData,INDEX(_xlpm.data,,2),
_xlpm.rowRegion,MATCH(AF156,_xlpm.colSite,0),
_xlpm.rowUser,MATCH("Maximum Simultaneously Active Users per Site",_xlfn.DROP(_xlpm.colSite,_xlpm.rowRegion),0),
INDEX(_xlpm.colData,_xlpm.rowRegion+_xlpm.rowUser))</f>
        <v>400</v>
      </c>
      <c r="AM156" s="124">
        <f>_xlfn.LET(
    _xlpm.data, 'Base Stations Profiles'!$B:$AJ,
    _xlpm.colSite, INDEX(_xlpm.data,,1),
    _xlpm.colauto, INDEX(_xlpm.data,,3),
    _xlpm.colData, INDEX(_xlpm.data,,2),
    _xlpm.rowRegion, MATCH(AF156, _xlpm.colSite, 0),
    _xlpm.rowThroughput, MATCH("Maximum Throughput for Downlink per Site", _xlfn.DROP(_xlpm.colSite, _xlpm.rowRegion), 0),
    IF(INDEX(_xlpm.colauto, _xlpm.rowRegion + _xlpm.rowThroughput)='Model Configurator Sup'!$M$4,VLOOKUP(AF156,'Base Stations Parameters'!$B:$AI,4,0),INDEX(_xlpm.colData, _xlpm.rowRegion + _xlpm.rowThroughput))
)</f>
        <v>300</v>
      </c>
      <c r="AN156" s="106">
        <f ca="1">IF($AK156&lt;=0,0,AI156/(AL156*$AK156))</f>
        <v>2.3437820512820511</v>
      </c>
      <c r="AO156" s="106">
        <f ca="1">IF($AK156&lt;=0,0,AJ156/(AM156*$AK156))</f>
        <v>0.71520560240483233</v>
      </c>
      <c r="AP156" s="130">
        <f>VLOOKUP(AF156,'Base Stations Parameters'!$B:$AH,3,0)</f>
        <v>60000</v>
      </c>
      <c r="AQ156">
        <f ca="1">ROUNDUP(MAX(AI156/AL156-AK156,AJ156/AM156-AK156,0),0)</f>
        <v>53</v>
      </c>
      <c r="AR156" s="130">
        <f ca="1">AQ156*AP156</f>
        <v>3180000</v>
      </c>
    </row>
    <row r="157" spans="2:44" ht="15.75" customHeight="1" thickBot="1" x14ac:dyDescent="0.3">
      <c r="B157" s="69" t="s">
        <v>174</v>
      </c>
      <c r="D157" s="125">
        <v>2.5000000000000001E-2</v>
      </c>
      <c r="E157" s="123">
        <f ca="1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)*D157,0)</f>
        <v>18021</v>
      </c>
      <c r="F157" s="122">
        <f ca="1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)*D157</f>
        <v>5657.2453633702116</v>
      </c>
      <c r="G157" s="105">
        <f>INDEX('Sites per Region'!$A:$Z, MATCH(B157,'Sites per Region'!$B:$B,0), MATCH(C$142,'Sites per Region'!$8:$8, 0))</f>
        <v>39</v>
      </c>
      <c r="H157" s="105">
        <f>_xlfn.LET(
_xlpm.data,'Base Stations Profiles'!$B:$E,
_xlpm.colSite,INDEX(_xlpm.data,,1),
_xlpm.colData,INDEX(_xlpm.data,,2),
_xlpm.rowRegion,MATCH(B157,_xlpm.colSite,0),
_xlpm.rowUser,MATCH("Maximum Simultaneously Active Users per Site",_xlfn.DROP(_xlpm.colSite,_xlpm.rowRegion),0),
INDEX(_xlpm.colData,_xlpm.rowRegion+_xlpm.rowUser))</f>
        <v>400</v>
      </c>
      <c r="I157" s="124">
        <f>_xlfn.LET(
    _xlpm.data, 'Base Stations Profiles'!$B:$F,
    _xlpm.colSite, INDEX(_xlpm.data,,1),
    _xlpm.colauto, INDEX(_xlpm.data,,3),
    _xlpm.colData, INDEX(_xlpm.data,,2),
    _xlpm.rowRegion, MATCH(B157, _xlpm.colSite, 0),
    _xlpm.rowThroughput, MATCH("Maximum Throughput for Downlink per Site", _xlfn.DROP(_xlpm.colSite, _xlpm.rowRegion), 0),
    IF(INDEX(_xlpm.colauto, _xlpm.rowRegion + _xlpm.rowThroughput)='Model Configurator Sup'!$M$4,VLOOKUP(B157,'Base Stations Parameters'!$B:$E,4,0),INDEX(_xlpm.colData, _xlpm.rowRegion + _xlpm.rowThroughput))
)</f>
        <v>300</v>
      </c>
      <c r="J157" s="106">
        <f ca="1">IF($G157&lt;=0,0,E157/(H157*$G157))</f>
        <v>1.1551923076923076</v>
      </c>
      <c r="K157" s="106">
        <f ca="1">IF($G157&lt;=0,0,F157/(I157*$G157))</f>
        <v>0.4835252447324967</v>
      </c>
      <c r="L157" s="130">
        <f>VLOOKUP(B157,'Base Stations Parameters'!$B:$D,3,0)</f>
        <v>0</v>
      </c>
      <c r="M157">
        <f ca="1">ROUNDUP(MAX(E157/H157-G157,F157/I157-G157,0),0)</f>
        <v>7</v>
      </c>
      <c r="N157" s="130">
        <f ca="1">M157*L157</f>
        <v>0</v>
      </c>
      <c r="Q157" s="69" t="s">
        <v>174</v>
      </c>
      <c r="S157" s="125">
        <v>2.5000000000000001E-2</v>
      </c>
      <c r="T157" s="123">
        <f ca="1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)*S157,0)</f>
        <v>21637</v>
      </c>
      <c r="U157" s="122">
        <f ca="1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)*S157</f>
        <v>6224.5040965411799</v>
      </c>
      <c r="V157" s="105">
        <f>INDEX('Sites per Region'!$A:$AO, MATCH(Q157,'Sites per Region'!$B:$B,0), MATCH(R$142,'Sites per Region'!$8:$8, 0))</f>
        <v>39</v>
      </c>
      <c r="W157" s="105">
        <f>_xlfn.LET(
_xlpm.data,'Base Stations Profiles'!$B:$T,
_xlpm.colSite,INDEX(_xlpm.data,,1),
_xlpm.colData,INDEX(_xlpm.data,,2),
_xlpm.rowRegion,MATCH(Q157,_xlpm.colSite,0),
_xlpm.rowUser,MATCH("Maximum Simultaneously Active Users per Site",_xlfn.DROP(_xlpm.colSite,_xlpm.rowRegion),0),
INDEX(_xlpm.colData,_xlpm.rowRegion+_xlpm.rowUser))</f>
        <v>400</v>
      </c>
      <c r="X157" s="124">
        <f>_xlfn.LET(
    _xlpm.data, 'Base Stations Profiles'!$B:$U,
    _xlpm.colSite, INDEX(_xlpm.data,,1),
    _xlpm.colauto, INDEX(_xlpm.data,,3),
    _xlpm.colData, INDEX(_xlpm.data,,2),
    _xlpm.rowRegion, MATCH(Q157, _xlpm.colSite, 0),
    _xlpm.rowThroughput, MATCH("Maximum Throughput for Downlink per Site", _xlfn.DROP(_xlpm.colSite, _xlpm.rowRegion), 0),
    IF(INDEX(_xlpm.colauto, _xlpm.rowRegion + _xlpm.rowThroughput)='Model Configurator Sup'!$M$4,VLOOKUP(Q157,'Base Stations Parameters'!$B:$T,4,0),INDEX(_xlpm.colData, _xlpm.rowRegion + _xlpm.rowThroughput))
)</f>
        <v>300</v>
      </c>
      <c r="Y157" s="106">
        <f ca="1">IF($V157&lt;=0,0,T157/(W157*$V157))</f>
        <v>1.3869871794871795</v>
      </c>
      <c r="Z157" s="106">
        <f ca="1">IF($V157&lt;=0,0,U157/(X157*$V157))</f>
        <v>0.53200889714027177</v>
      </c>
      <c r="AA157" s="130">
        <f>VLOOKUP(Q157,'Base Stations Parameters'!$B:$S,3,0)</f>
        <v>0</v>
      </c>
      <c r="AB157">
        <f ca="1">ROUNDUP(MAX(T157/W157-V157,U157/X157-V157,0),0)</f>
        <v>16</v>
      </c>
      <c r="AC157" s="130">
        <f ca="1">AB157*AA157</f>
        <v>0</v>
      </c>
      <c r="AF157" s="69" t="s">
        <v>174</v>
      </c>
      <c r="AH157" s="125">
        <v>2.5000000000000001E-2</v>
      </c>
      <c r="AI157" s="123">
        <f ca="1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)*AH157,0)</f>
        <v>36563</v>
      </c>
      <c r="AJ157" s="122">
        <f ca="1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)*AH157</f>
        <v>8367.9055481365376</v>
      </c>
      <c r="AK157" s="105">
        <f>INDEX('Sites per Region'!$A:$BD, MATCH(AF157,'Sites per Region'!$B:$B,0), MATCH(AG$142,'Sites per Region'!$8:$8, 0))</f>
        <v>39</v>
      </c>
      <c r="AL157" s="105">
        <f>_xlfn.LET(
_xlpm.data,'Base Stations Profiles'!$B:$AI,
_xlpm.colSite,INDEX(_xlpm.data,,1),
_xlpm.colData,INDEX(_xlpm.data,,2),
_xlpm.rowRegion,MATCH(AF157,_xlpm.colSite,0),
_xlpm.rowUser,MATCH("Maximum Simultaneously Active Users per Site",_xlfn.DROP(_xlpm.colSite,_xlpm.rowRegion),0),
INDEX(_xlpm.colData,_xlpm.rowRegion+_xlpm.rowUser))</f>
        <v>400</v>
      </c>
      <c r="AM157" s="124">
        <f>_xlfn.LET(
    _xlpm.data, 'Base Stations Profiles'!$B:$AJ,
    _xlpm.colSite, INDEX(_xlpm.data,,1),
    _xlpm.colauto, INDEX(_xlpm.data,,3),
    _xlpm.colData, INDEX(_xlpm.data,,2),
    _xlpm.rowRegion, MATCH(AF157, _xlpm.colSite, 0),
    _xlpm.rowThroughput, MATCH("Maximum Throughput for Downlink per Site", _xlfn.DROP(_xlpm.colSite, _xlpm.rowRegion), 0),
    IF(INDEX(_xlpm.colauto, _xlpm.rowRegion + _xlpm.rowThroughput)='Model Configurator Sup'!$M$4,VLOOKUP(AF157,'Base Stations Parameters'!$B:$AI,4,0),INDEX(_xlpm.colData, _xlpm.rowRegion + _xlpm.rowThroughput))
)</f>
        <v>300</v>
      </c>
      <c r="AN157" s="106">
        <f ca="1">IF($AK157&lt;=0,0,AI157/(AL157*$AK157))</f>
        <v>2.3437820512820511</v>
      </c>
      <c r="AO157" s="106">
        <f ca="1">IF($AK157&lt;=0,0,AJ157/(AM157*$AK157))</f>
        <v>0.71520560240483233</v>
      </c>
      <c r="AP157" s="130">
        <f>VLOOKUP(AF157,'Base Stations Parameters'!$B:$AH,3,0)</f>
        <v>0</v>
      </c>
      <c r="AQ157">
        <f ca="1">ROUNDUP(MAX(AI157/AL157-AK157,AJ157/AM157-AK157,0),0)</f>
        <v>53</v>
      </c>
      <c r="AR157" s="130">
        <f ca="1">AQ157*AP157</f>
        <v>0</v>
      </c>
    </row>
    <row r="158" spans="2:44" ht="15" customHeight="1" x14ac:dyDescent="0.25">
      <c r="B158" s="116" t="s">
        <v>182</v>
      </c>
      <c r="D158" s="126">
        <f>SUM(D146:D157)</f>
        <v>1</v>
      </c>
      <c r="E158" s="127">
        <f ca="1">SUM(E146:E157)</f>
        <v>720868</v>
      </c>
      <c r="F158" s="128">
        <f ca="1">SUM(F146:F157)</f>
        <v>226289.81453480848</v>
      </c>
      <c r="H158" s="113"/>
      <c r="I158" s="115"/>
      <c r="L158" s="115"/>
      <c r="M158" s="129">
        <f ca="1">SUM(M146:M157)</f>
        <v>198</v>
      </c>
      <c r="N158" s="131">
        <f ca="1">SUM(N146:N157)</f>
        <v>21170000</v>
      </c>
      <c r="Q158" s="116" t="s">
        <v>182</v>
      </c>
      <c r="S158" s="126">
        <f>SUM(S146:S157)</f>
        <v>1</v>
      </c>
      <c r="T158" s="127">
        <f ca="1">SUM(T146:T157)</f>
        <v>865484</v>
      </c>
      <c r="U158" s="128">
        <f ca="1">SUM(U146:U157)</f>
        <v>248980.1638616471</v>
      </c>
      <c r="W158" s="113"/>
      <c r="X158" s="115"/>
      <c r="AA158" s="115"/>
      <c r="AB158" s="129">
        <f ca="1">SUM(AB146:AB157)</f>
        <v>308</v>
      </c>
      <c r="AC158" s="131">
        <f ca="1">SUM(AC146:AC157)</f>
        <v>32010000</v>
      </c>
      <c r="AF158" s="116" t="s">
        <v>182</v>
      </c>
      <c r="AH158" s="126">
        <f>SUM(AH146:AH157)</f>
        <v>1</v>
      </c>
      <c r="AI158" s="127">
        <f ca="1">SUM(AI146:AI157)</f>
        <v>1462544</v>
      </c>
      <c r="AJ158" s="128">
        <f ca="1">SUM(AJ146:AJ157)</f>
        <v>334716.22192546155</v>
      </c>
      <c r="AL158" s="113"/>
      <c r="AM158" s="115"/>
      <c r="AP158" s="115"/>
      <c r="AQ158" s="129">
        <f ca="1">SUM(AQ146:AQ157)</f>
        <v>792</v>
      </c>
      <c r="AR158" s="131">
        <f ca="1">SUM(AR146:AR157)</f>
        <v>79430000</v>
      </c>
    </row>
    <row r="160" spans="2:44" ht="15" customHeight="1" x14ac:dyDescent="0.25">
      <c r="C160">
        <v>2023</v>
      </c>
      <c r="R160">
        <v>2025</v>
      </c>
      <c r="AG160">
        <v>2030</v>
      </c>
    </row>
    <row r="161" spans="2:44" ht="20.100000000000001" customHeight="1" x14ac:dyDescent="0.25">
      <c r="C161" s="102" t="s">
        <v>18</v>
      </c>
      <c r="R161" s="102" t="s">
        <v>18</v>
      </c>
      <c r="AG161" s="102" t="s">
        <v>18</v>
      </c>
    </row>
    <row r="162" spans="2:44" ht="15" customHeight="1" thickBot="1" x14ac:dyDescent="0.3"/>
    <row r="163" spans="2:44" ht="15" customHeight="1" thickBot="1" x14ac:dyDescent="0.3">
      <c r="B163" s="138" t="s">
        <v>143</v>
      </c>
      <c r="C163" s="117"/>
      <c r="D163" s="152" t="s">
        <v>203</v>
      </c>
      <c r="E163" s="142" t="s">
        <v>218</v>
      </c>
      <c r="F163" s="144"/>
      <c r="G163" s="152" t="s">
        <v>215</v>
      </c>
      <c r="H163" s="142" t="s">
        <v>217</v>
      </c>
      <c r="I163" s="144"/>
      <c r="J163" s="142" t="s">
        <v>184</v>
      </c>
      <c r="K163" s="144"/>
      <c r="L163" s="142" t="s">
        <v>131</v>
      </c>
      <c r="M163" s="143"/>
      <c r="N163" s="144"/>
      <c r="Q163" s="138" t="s">
        <v>143</v>
      </c>
      <c r="R163" s="117"/>
      <c r="S163" s="152" t="s">
        <v>203</v>
      </c>
      <c r="T163" s="142" t="s">
        <v>218</v>
      </c>
      <c r="U163" s="144"/>
      <c r="V163" s="152" t="s">
        <v>215</v>
      </c>
      <c r="W163" s="142" t="s">
        <v>217</v>
      </c>
      <c r="X163" s="144"/>
      <c r="Y163" s="142" t="s">
        <v>184</v>
      </c>
      <c r="Z163" s="144"/>
      <c r="AA163" s="142" t="s">
        <v>131</v>
      </c>
      <c r="AB163" s="143"/>
      <c r="AC163" s="144"/>
      <c r="AF163" s="138" t="s">
        <v>143</v>
      </c>
      <c r="AG163" s="117"/>
      <c r="AH163" s="152" t="s">
        <v>203</v>
      </c>
      <c r="AI163" s="142" t="s">
        <v>218</v>
      </c>
      <c r="AJ163" s="144"/>
      <c r="AK163" s="152" t="s">
        <v>215</v>
      </c>
      <c r="AL163" s="142" t="s">
        <v>217</v>
      </c>
      <c r="AM163" s="144"/>
      <c r="AN163" s="142" t="s">
        <v>184</v>
      </c>
      <c r="AO163" s="144"/>
      <c r="AP163" s="142" t="s">
        <v>131</v>
      </c>
      <c r="AQ163" s="143"/>
      <c r="AR163" s="144"/>
    </row>
    <row r="164" spans="2:44" ht="30.75" customHeight="1" thickBot="1" x14ac:dyDescent="0.3">
      <c r="B164" s="139"/>
      <c r="C164" s="117"/>
      <c r="D164" s="153"/>
      <c r="E164" s="10" t="s">
        <v>185</v>
      </c>
      <c r="F164" s="10" t="s">
        <v>204</v>
      </c>
      <c r="G164" s="153"/>
      <c r="H164" s="10" t="s">
        <v>185</v>
      </c>
      <c r="I164" s="10" t="s">
        <v>204</v>
      </c>
      <c r="J164" s="10" t="s">
        <v>185</v>
      </c>
      <c r="K164" s="10" t="s">
        <v>204</v>
      </c>
      <c r="L164" s="10" t="s">
        <v>243</v>
      </c>
      <c r="M164" s="10" t="s">
        <v>195</v>
      </c>
      <c r="N164" s="10" t="s">
        <v>244</v>
      </c>
      <c r="Q164" s="139"/>
      <c r="R164" s="117"/>
      <c r="S164" s="153"/>
      <c r="T164" s="10" t="s">
        <v>185</v>
      </c>
      <c r="U164" s="10" t="s">
        <v>204</v>
      </c>
      <c r="V164" s="153"/>
      <c r="W164" s="10" t="s">
        <v>185</v>
      </c>
      <c r="X164" s="10" t="s">
        <v>204</v>
      </c>
      <c r="Y164" s="10" t="s">
        <v>185</v>
      </c>
      <c r="Z164" s="10" t="s">
        <v>204</v>
      </c>
      <c r="AA164" s="10" t="s">
        <v>243</v>
      </c>
      <c r="AB164" s="10" t="s">
        <v>195</v>
      </c>
      <c r="AC164" s="10" t="s">
        <v>244</v>
      </c>
      <c r="AF164" s="139"/>
      <c r="AG164" s="117"/>
      <c r="AH164" s="153"/>
      <c r="AI164" s="10" t="s">
        <v>185</v>
      </c>
      <c r="AJ164" s="10" t="s">
        <v>204</v>
      </c>
      <c r="AK164" s="153"/>
      <c r="AL164" s="10" t="s">
        <v>185</v>
      </c>
      <c r="AM164" s="10" t="s">
        <v>204</v>
      </c>
      <c r="AN164" s="10" t="s">
        <v>185</v>
      </c>
      <c r="AO164" s="10" t="s">
        <v>204</v>
      </c>
      <c r="AP164" s="10" t="s">
        <v>243</v>
      </c>
      <c r="AQ164" s="10" t="s">
        <v>195</v>
      </c>
      <c r="AR164" s="10" t="s">
        <v>244</v>
      </c>
    </row>
    <row r="165" spans="2:44" ht="15.75" customHeight="1" thickBot="1" x14ac:dyDescent="0.3">
      <c r="B165" s="69" t="s">
        <v>245</v>
      </c>
      <c r="D165" s="125">
        <v>0.15</v>
      </c>
      <c r="E165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)*D165,0)</f>
        <v>35410</v>
      </c>
      <c r="F165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)*D165</f>
        <v>10702.007607497586</v>
      </c>
      <c r="G165" s="105">
        <f>INDEX('Sites per Region'!$A:$Z, MATCH(B165,'Sites per Region'!$B:$B,0), MATCH(C$161,'Sites per Region'!$8:$8, 0))</f>
        <v>32</v>
      </c>
      <c r="H165" s="105">
        <f>_xlfn.LET(
_xlpm.data,'Base Stations Profiles'!$B:$E,
_xlpm.colSite,INDEX(_xlpm.data,,1),
_xlpm.colData,INDEX(_xlpm.data,,2),
_xlpm.rowRegion,MATCH(B165,_xlpm.colSite,0),
_xlpm.rowUser,MATCH("Maximum Simultaneously Active Users per Site",_xlfn.DROP(_xlpm.colSite,_xlpm.rowRegion),0),
INDEX(_xlpm.colData,_xlpm.rowRegion+_xlpm.rowUser))</f>
        <v>2500</v>
      </c>
      <c r="I165" s="124">
        <f>_xlfn.LET(
    _xlpm.data, 'Base Stations Profiles'!$B:$F,
    _xlpm.colSite, INDEX(_xlpm.data,,1),
    _xlpm.colauto, INDEX(_xlpm.data,,3),
    _xlpm.colData, INDEX(_xlpm.data,,2),
    _xlpm.rowRegion, MATCH(B165, _xlpm.colSite, 0),
    _xlpm.rowThroughput, MATCH("Maximum Throughput for Downlink per Site", _xlfn.DROP(_xlpm.colSite, _xlpm.rowRegion), 0),
    IF(INDEX(_xlpm.colauto, _xlpm.rowRegion + _xlpm.rowThroughput)='Model Configurator Sup'!$M$4,VLOOKUP(B165,'Base Stations Parameters'!$B:$E,4,0),INDEX(_xlpm.colData, _xlpm.rowRegion + _xlpm.rowThroughput))
)</f>
        <v>17000</v>
      </c>
      <c r="J165" s="106">
        <f ca="1">IF($G165&lt;=0,0,E165/(H165*$G165))</f>
        <v>0.44262499999999999</v>
      </c>
      <c r="K165" s="106">
        <f ca="1">IF($G165&lt;=0,0,F165/(I165*$G165))</f>
        <v>1.967280810201762E-2</v>
      </c>
      <c r="L165" s="130">
        <f>VLOOKUP(B165,'Base Stations Parameters'!$B:$D,3,0)</f>
        <v>175000</v>
      </c>
      <c r="M165">
        <f ca="1">ROUNDUP(MAX(E165/H165-G165,F165/I165-G165,0),0)</f>
        <v>0</v>
      </c>
      <c r="N165" s="130">
        <f ca="1">M165*L165</f>
        <v>0</v>
      </c>
      <c r="Q165" s="69" t="s">
        <v>245</v>
      </c>
      <c r="S165" s="125">
        <v>0.15</v>
      </c>
      <c r="T165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)*S165,0)</f>
        <v>42530</v>
      </c>
      <c r="U165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)*S165</f>
        <v>11675.054606672644</v>
      </c>
      <c r="V165" s="105">
        <f>INDEX('Sites per Region'!$A:$AO, MATCH(Q165,'Sites per Region'!$B:$B,0), MATCH(R$161,'Sites per Region'!$8:$8, 0))</f>
        <v>32</v>
      </c>
      <c r="W165" s="105">
        <f>_xlfn.LET(
_xlpm.data,'Base Stations Profiles'!$B:$T,
_xlpm.colSite,INDEX(_xlpm.data,,1),
_xlpm.colData,INDEX(_xlpm.data,,2),
_xlpm.rowRegion,MATCH(Q165,_xlpm.colSite,0),
_xlpm.rowUser,MATCH("Maximum Simultaneously Active Users per Site",_xlfn.DROP(_xlpm.colSite,_xlpm.rowRegion),0),
INDEX(_xlpm.colData,_xlpm.rowRegion+_xlpm.rowUser))</f>
        <v>2500</v>
      </c>
      <c r="X165" s="124">
        <f>_xlfn.LET(
    _xlpm.data, 'Base Stations Profiles'!$B:$U,
    _xlpm.colSite, INDEX(_xlpm.data,,1),
    _xlpm.colauto, INDEX(_xlpm.data,,3),
    _xlpm.colData, INDEX(_xlpm.data,,2),
    _xlpm.rowRegion, MATCH(Q165, _xlpm.colSite, 0),
    _xlpm.rowThroughput, MATCH("Maximum Throughput for Downlink per Site", _xlfn.DROP(_xlpm.colSite, _xlpm.rowRegion), 0),
    IF(INDEX(_xlpm.colauto, _xlpm.rowRegion + _xlpm.rowThroughput)='Model Configurator Sup'!$M$4,VLOOKUP(Q165,'Base Stations Parameters'!$B:$T,4,0),INDEX(_xlpm.colData, _xlpm.rowRegion + _xlpm.rowThroughput))
)</f>
        <v>17000</v>
      </c>
      <c r="Y165" s="106">
        <f ca="1">IF($V165&lt;=0,0,T165/(W165*$V165))</f>
        <v>0.53162500000000001</v>
      </c>
      <c r="Z165" s="106">
        <f ca="1">IF($V165&lt;=0,0,U165/(X165*$V165))</f>
        <v>2.1461497438736477E-2</v>
      </c>
      <c r="AA165" s="130">
        <f>VLOOKUP(Q165,'Base Stations Parameters'!$B:$S,3,0)</f>
        <v>175000</v>
      </c>
      <c r="AB165">
        <f ca="1">ROUNDUP(MAX(T165/W165-V165,U165/X165-V165,0),0)</f>
        <v>0</v>
      </c>
      <c r="AC165" s="130">
        <f ca="1">AB165*AA165</f>
        <v>0</v>
      </c>
      <c r="AF165" s="69" t="s">
        <v>245</v>
      </c>
      <c r="AH165" s="125">
        <v>0.15</v>
      </c>
      <c r="AI165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)*AH165,0)</f>
        <v>71938</v>
      </c>
      <c r="AJ165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)*AH165</f>
        <v>15281.121002071935</v>
      </c>
      <c r="AK165" s="105">
        <f>INDEX('Sites per Region'!$A:$BD, MATCH(AF165,'Sites per Region'!$B:$B,0), MATCH(AG$161,'Sites per Region'!$8:$8, 0))</f>
        <v>32</v>
      </c>
      <c r="AL165" s="105">
        <f>_xlfn.LET(
_xlpm.data,'Base Stations Profiles'!$B:$AI,
_xlpm.colSite,INDEX(_xlpm.data,,1),
_xlpm.colData,INDEX(_xlpm.data,,2),
_xlpm.rowRegion,MATCH(AF165,_xlpm.colSite,0),
_xlpm.rowUser,MATCH("Maximum Simultaneously Active Users per Site",_xlfn.DROP(_xlpm.colSite,_xlpm.rowRegion),0),
INDEX(_xlpm.colData,_xlpm.rowRegion+_xlpm.rowUser))</f>
        <v>2500</v>
      </c>
      <c r="AM165" s="124">
        <f>_xlfn.LET(
    _xlpm.data, 'Base Stations Profiles'!$B:$AJ,
    _xlpm.colSite, INDEX(_xlpm.data,,1),
    _xlpm.colauto, INDEX(_xlpm.data,,3),
    _xlpm.colData, INDEX(_xlpm.data,,2),
    _xlpm.rowRegion, MATCH(AF165, _xlpm.colSite, 0),
    _xlpm.rowThroughput, MATCH("Maximum Throughput for Downlink per Site", _xlfn.DROP(_xlpm.colSite, _xlpm.rowRegion), 0),
    IF(INDEX(_xlpm.colauto, _xlpm.rowRegion + _xlpm.rowThroughput)='Model Configurator Sup'!$M$4,VLOOKUP(AF165,'Base Stations Parameters'!$B:$AI,4,0),INDEX(_xlpm.colData, _xlpm.rowRegion + _xlpm.rowThroughput))
)</f>
        <v>17000</v>
      </c>
      <c r="AN165" s="106">
        <f ca="1">IF($AK165&lt;=0,0,AI165/(AL165*$AK165))</f>
        <v>0.89922500000000005</v>
      </c>
      <c r="AO165" s="106">
        <f ca="1">IF($AK165&lt;=0,0,AJ165/(AM165*$AK165))</f>
        <v>2.8090295959691057E-2</v>
      </c>
      <c r="AP165" s="130">
        <f>VLOOKUP(AF165,'Base Stations Parameters'!$B:$AH,3,0)</f>
        <v>175000</v>
      </c>
      <c r="AQ165">
        <f ca="1">ROUNDUP(MAX(AI165/AL165-AK165,AJ165/AM165-AK165,0),0)</f>
        <v>0</v>
      </c>
      <c r="AR165" s="130">
        <f ca="1">AQ165*AP165</f>
        <v>0</v>
      </c>
    </row>
    <row r="166" spans="2:44" ht="15.75" customHeight="1" thickBot="1" x14ac:dyDescent="0.3">
      <c r="B166" s="69" t="s">
        <v>169</v>
      </c>
      <c r="D166" s="125">
        <v>0.15</v>
      </c>
      <c r="E166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)*D166,0)</f>
        <v>35410</v>
      </c>
      <c r="F166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)*D166</f>
        <v>10702.007607497586</v>
      </c>
      <c r="G166" s="105">
        <f>INDEX('Sites per Region'!$A:$Z, MATCH(B166,'Sites per Region'!$B:$B,0), MATCH(C$161,'Sites per Region'!$8:$8, 0))</f>
        <v>32</v>
      </c>
      <c r="H166" s="105">
        <f>_xlfn.LET(
_xlpm.data,'Base Stations Profiles'!$B:$E,
_xlpm.colSite,INDEX(_xlpm.data,,1),
_xlpm.colData,INDEX(_xlpm.data,,2),
_xlpm.rowRegion,MATCH(B166,_xlpm.colSite,0),
_xlpm.rowUser,MATCH("Maximum Simultaneously Active Users per Site",_xlfn.DROP(_xlpm.colSite,_xlpm.rowRegion),0),
INDEX(_xlpm.colData,_xlpm.rowRegion+_xlpm.rowUser))</f>
        <v>2500</v>
      </c>
      <c r="I166" s="124">
        <f>_xlfn.LET(
    _xlpm.data, 'Base Stations Profiles'!$B:$F,
    _xlpm.colSite, INDEX(_xlpm.data,,1),
    _xlpm.colauto, INDEX(_xlpm.data,,3),
    _xlpm.colData, INDEX(_xlpm.data,,2),
    _xlpm.rowRegion, MATCH(B166, _xlpm.colSite, 0),
    _xlpm.rowThroughput, MATCH("Maximum Throughput for Downlink per Site", _xlfn.DROP(_xlpm.colSite, _xlpm.rowRegion), 0),
    IF(INDEX(_xlpm.colauto, _xlpm.rowRegion + _xlpm.rowThroughput)='Model Configurator Sup'!$M$4,VLOOKUP(B166,'Base Stations Parameters'!$B:$E,4,0),INDEX(_xlpm.colData, _xlpm.rowRegion + _xlpm.rowThroughput))
)</f>
        <v>17000</v>
      </c>
      <c r="J166" s="106">
        <f ca="1">IF($G166&lt;=0,0,E166/(H166*$G166))</f>
        <v>0.44262499999999999</v>
      </c>
      <c r="K166" s="106">
        <f ca="1">IF($G166&lt;=0,0,F166/(I166*$G166))</f>
        <v>1.967280810201762E-2</v>
      </c>
      <c r="L166" s="130">
        <f>VLOOKUP(B166,'Base Stations Parameters'!$B:$D,3,0)</f>
        <v>145000</v>
      </c>
      <c r="M166">
        <f ca="1">ROUNDUP(MAX(E166/H166-G166,F166/I166-G166,0),0)</f>
        <v>0</v>
      </c>
      <c r="N166" s="130">
        <f ca="1">M166*L166</f>
        <v>0</v>
      </c>
      <c r="Q166" s="69" t="s">
        <v>169</v>
      </c>
      <c r="S166" s="125">
        <v>0.15</v>
      </c>
      <c r="T166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)*S166,0)</f>
        <v>42530</v>
      </c>
      <c r="U166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)*S166</f>
        <v>11675.054606672644</v>
      </c>
      <c r="V166" s="105">
        <f>INDEX('Sites per Region'!$A:$AO, MATCH(Q166,'Sites per Region'!$B:$B,0), MATCH(R$161,'Sites per Region'!$8:$8, 0))</f>
        <v>32</v>
      </c>
      <c r="W166" s="105">
        <f>_xlfn.LET(
_xlpm.data,'Base Stations Profiles'!$B:$T,
_xlpm.colSite,INDEX(_xlpm.data,,1),
_xlpm.colData,INDEX(_xlpm.data,,2),
_xlpm.rowRegion,MATCH(Q166,_xlpm.colSite,0),
_xlpm.rowUser,MATCH("Maximum Simultaneously Active Users per Site",_xlfn.DROP(_xlpm.colSite,_xlpm.rowRegion),0),
INDEX(_xlpm.colData,_xlpm.rowRegion+_xlpm.rowUser))</f>
        <v>2500</v>
      </c>
      <c r="X166" s="124">
        <f>_xlfn.LET(
    _xlpm.data, 'Base Stations Profiles'!$B:$U,
    _xlpm.colSite, INDEX(_xlpm.data,,1),
    _xlpm.colauto, INDEX(_xlpm.data,,3),
    _xlpm.colData, INDEX(_xlpm.data,,2),
    _xlpm.rowRegion, MATCH(Q166, _xlpm.colSite, 0),
    _xlpm.rowThroughput, MATCH("Maximum Throughput for Downlink per Site", _xlfn.DROP(_xlpm.colSite, _xlpm.rowRegion), 0),
    IF(INDEX(_xlpm.colauto, _xlpm.rowRegion + _xlpm.rowThroughput)='Model Configurator Sup'!$M$4,VLOOKUP(Q166,'Base Stations Parameters'!$B:$T,4,0),INDEX(_xlpm.colData, _xlpm.rowRegion + _xlpm.rowThroughput))
)</f>
        <v>17000</v>
      </c>
      <c r="Y166" s="106">
        <f ca="1">IF($V166&lt;=0,0,T166/(W166*$V166))</f>
        <v>0.53162500000000001</v>
      </c>
      <c r="Z166" s="106">
        <f ca="1">IF($V166&lt;=0,0,U166/(X166*$V166))</f>
        <v>2.1461497438736477E-2</v>
      </c>
      <c r="AA166" s="130">
        <f>VLOOKUP(Q166,'Base Stations Parameters'!$B:$S,3,0)</f>
        <v>145000</v>
      </c>
      <c r="AB166">
        <f ca="1">ROUNDUP(MAX(T166/W166-V166,U166/X166-V166,0),0)</f>
        <v>0</v>
      </c>
      <c r="AC166" s="130">
        <f ca="1">AB166*AA166</f>
        <v>0</v>
      </c>
      <c r="AF166" s="69" t="s">
        <v>169</v>
      </c>
      <c r="AH166" s="125">
        <v>0.15</v>
      </c>
      <c r="AI166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)*AH166,0)</f>
        <v>71938</v>
      </c>
      <c r="AJ166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)*AH166</f>
        <v>15281.121002071935</v>
      </c>
      <c r="AK166" s="105">
        <f>INDEX('Sites per Region'!$A:$BD, MATCH(AF166,'Sites per Region'!$B:$B,0), MATCH(AG$161,'Sites per Region'!$8:$8, 0))</f>
        <v>32</v>
      </c>
      <c r="AL166" s="105">
        <f>_xlfn.LET(
_xlpm.data,'Base Stations Profiles'!$B:$AI,
_xlpm.colSite,INDEX(_xlpm.data,,1),
_xlpm.colData,INDEX(_xlpm.data,,2),
_xlpm.rowRegion,MATCH(AF166,_xlpm.colSite,0),
_xlpm.rowUser,MATCH("Maximum Simultaneously Active Users per Site",_xlfn.DROP(_xlpm.colSite,_xlpm.rowRegion),0),
INDEX(_xlpm.colData,_xlpm.rowRegion+_xlpm.rowUser))</f>
        <v>2500</v>
      </c>
      <c r="AM166" s="124">
        <f>_xlfn.LET(
    _xlpm.data, 'Base Stations Profiles'!$B:$AJ,
    _xlpm.colSite, INDEX(_xlpm.data,,1),
    _xlpm.colauto, INDEX(_xlpm.data,,3),
    _xlpm.colData, INDEX(_xlpm.data,,2),
    _xlpm.rowRegion, MATCH(AF166, _xlpm.colSite, 0),
    _xlpm.rowThroughput, MATCH("Maximum Throughput for Downlink per Site", _xlfn.DROP(_xlpm.colSite, _xlpm.rowRegion), 0),
    IF(INDEX(_xlpm.colauto, _xlpm.rowRegion + _xlpm.rowThroughput)='Model Configurator Sup'!$M$4,VLOOKUP(AF166,'Base Stations Parameters'!$B:$AI,4,0),INDEX(_xlpm.colData, _xlpm.rowRegion + _xlpm.rowThroughput))
)</f>
        <v>17000</v>
      </c>
      <c r="AN166" s="106">
        <f ca="1">IF($AK166&lt;=0,0,AI166/(AL166*$AK166))</f>
        <v>0.89922500000000005</v>
      </c>
      <c r="AO166" s="106">
        <f ca="1">IF($AK166&lt;=0,0,AJ166/(AM166*$AK166))</f>
        <v>2.8090295959691057E-2</v>
      </c>
      <c r="AP166" s="130">
        <f>VLOOKUP(AF166,'Base Stations Parameters'!$B:$AH,3,0)</f>
        <v>145000</v>
      </c>
      <c r="AQ166">
        <f ca="1">ROUNDUP(MAX(AI166/AL166-AK166,AJ166/AM166-AK166,0),0)</f>
        <v>0</v>
      </c>
      <c r="AR166" s="130">
        <f ca="1">AQ166*AP166</f>
        <v>0</v>
      </c>
    </row>
    <row r="167" spans="2:44" ht="15.75" customHeight="1" thickBot="1" x14ac:dyDescent="0.3">
      <c r="B167" s="69" t="s">
        <v>246</v>
      </c>
      <c r="D167" s="125">
        <v>0.15</v>
      </c>
      <c r="E167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)*D167,0)</f>
        <v>35410</v>
      </c>
      <c r="F167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)*D167</f>
        <v>10702.007607497586</v>
      </c>
      <c r="G167" s="105">
        <f>INDEX('Sites per Region'!$A:$Z, MATCH(B167,'Sites per Region'!$B:$B,0), MATCH(C$161,'Sites per Region'!$8:$8, 0))</f>
        <v>26</v>
      </c>
      <c r="H167" s="105">
        <f>_xlfn.LET(
_xlpm.data,'Base Stations Profiles'!$B:$E,
_xlpm.colSite,INDEX(_xlpm.data,,1),
_xlpm.colData,INDEX(_xlpm.data,,2),
_xlpm.rowRegion,MATCH(B167,_xlpm.colSite,0),
_xlpm.rowUser,MATCH("Maximum Simultaneously Active Users per Site",_xlfn.DROP(_xlpm.colSite,_xlpm.rowRegion),0),
INDEX(_xlpm.colData,_xlpm.rowRegion+_xlpm.rowUser))</f>
        <v>1500</v>
      </c>
      <c r="I167" s="124">
        <f>_xlfn.LET(
    _xlpm.data, 'Base Stations Profiles'!$B:$F,
    _xlpm.colSite, INDEX(_xlpm.data,,1),
    _xlpm.colauto, INDEX(_xlpm.data,,3),
    _xlpm.colData, INDEX(_xlpm.data,,2),
    _xlpm.rowRegion, MATCH(B167, _xlpm.colSite, 0),
    _xlpm.rowThroughput, MATCH("Maximum Throughput for Downlink per Site", _xlfn.DROP(_xlpm.colSite, _xlpm.rowRegion), 0),
    IF(INDEX(_xlpm.colauto, _xlpm.rowRegion + _xlpm.rowThroughput)='Model Configurator Sup'!$M$4,VLOOKUP(B167,'Base Stations Parameters'!$B:$E,4,0),INDEX(_xlpm.colData, _xlpm.rowRegion + _xlpm.rowThroughput))
)</f>
        <v>12000</v>
      </c>
      <c r="J167" s="106">
        <f ca="1">IF($G167&lt;=0,0,E167/(H167*$G167))</f>
        <v>0.9079487179487179</v>
      </c>
      <c r="K167" s="106">
        <f ca="1">IF($G167&lt;=0,0,F167/(I167*$G167))</f>
        <v>3.4301306434287138E-2</v>
      </c>
      <c r="L167" s="130">
        <f>VLOOKUP(B167,'Base Stations Parameters'!$B:$D,3,0)</f>
        <v>145000</v>
      </c>
      <c r="M167">
        <f ca="1">ROUNDUP(MAX(E167/H167-G167,F167/I167-G167,0),0)</f>
        <v>0</v>
      </c>
      <c r="N167" s="130">
        <f ca="1">M167*L167</f>
        <v>0</v>
      </c>
      <c r="Q167" s="69" t="s">
        <v>246</v>
      </c>
      <c r="S167" s="125">
        <v>0.15</v>
      </c>
      <c r="T167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)*S167,0)</f>
        <v>42530</v>
      </c>
      <c r="U167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)*S167</f>
        <v>11675.054606672644</v>
      </c>
      <c r="V167" s="105">
        <f>INDEX('Sites per Region'!$A:$AO, MATCH(Q167,'Sites per Region'!$B:$B,0), MATCH(R$161,'Sites per Region'!$8:$8, 0))</f>
        <v>26</v>
      </c>
      <c r="W167" s="105">
        <f>_xlfn.LET(
_xlpm.data,'Base Stations Profiles'!$B:$T,
_xlpm.colSite,INDEX(_xlpm.data,,1),
_xlpm.colData,INDEX(_xlpm.data,,2),
_xlpm.rowRegion,MATCH(Q167,_xlpm.colSite,0),
_xlpm.rowUser,MATCH("Maximum Simultaneously Active Users per Site",_xlfn.DROP(_xlpm.colSite,_xlpm.rowRegion),0),
INDEX(_xlpm.colData,_xlpm.rowRegion+_xlpm.rowUser))</f>
        <v>1500</v>
      </c>
      <c r="X167" s="124">
        <f>_xlfn.LET(
    _xlpm.data, 'Base Stations Profiles'!$B:$U,
    _xlpm.colSite, INDEX(_xlpm.data,,1),
    _xlpm.colauto, INDEX(_xlpm.data,,3),
    _xlpm.colData, INDEX(_xlpm.data,,2),
    _xlpm.rowRegion, MATCH(Q167, _xlpm.colSite, 0),
    _xlpm.rowThroughput, MATCH("Maximum Throughput for Downlink per Site", _xlfn.DROP(_xlpm.colSite, _xlpm.rowRegion), 0),
    IF(INDEX(_xlpm.colauto, _xlpm.rowRegion + _xlpm.rowThroughput)='Model Configurator Sup'!$M$4,VLOOKUP(Q167,'Base Stations Parameters'!$B:$T,4,0),INDEX(_xlpm.colData, _xlpm.rowRegion + _xlpm.rowThroughput))
)</f>
        <v>12000</v>
      </c>
      <c r="Y167" s="106">
        <f ca="1">IF($V167&lt;=0,0,T167/(W167*$V167))</f>
        <v>1.0905128205128205</v>
      </c>
      <c r="Z167" s="106">
        <f ca="1">IF($V167&lt;=0,0,U167/(X167*$V167))</f>
        <v>3.7420046816258476E-2</v>
      </c>
      <c r="AA167" s="130">
        <f>VLOOKUP(Q167,'Base Stations Parameters'!$B:$S,3,0)</f>
        <v>145000</v>
      </c>
      <c r="AB167">
        <f ca="1">ROUNDUP(MAX(T167/W167-V167,U167/X167-V167,0),0)</f>
        <v>3</v>
      </c>
      <c r="AC167" s="130">
        <f ca="1">AB167*AA167</f>
        <v>435000</v>
      </c>
      <c r="AF167" s="69" t="s">
        <v>246</v>
      </c>
      <c r="AH167" s="125">
        <v>0.15</v>
      </c>
      <c r="AI167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)*AH167,0)</f>
        <v>71938</v>
      </c>
      <c r="AJ167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)*AH167</f>
        <v>15281.121002071935</v>
      </c>
      <c r="AK167" s="105">
        <f>INDEX('Sites per Region'!$A:$BD, MATCH(AF167,'Sites per Region'!$B:$B,0), MATCH(AG$161,'Sites per Region'!$8:$8, 0))</f>
        <v>26</v>
      </c>
      <c r="AL167" s="105">
        <f>_xlfn.LET(
_xlpm.data,'Base Stations Profiles'!$B:$AI,
_xlpm.colSite,INDEX(_xlpm.data,,1),
_xlpm.colData,INDEX(_xlpm.data,,2),
_xlpm.rowRegion,MATCH(AF167,_xlpm.colSite,0),
_xlpm.rowUser,MATCH("Maximum Simultaneously Active Users per Site",_xlfn.DROP(_xlpm.colSite,_xlpm.rowRegion),0),
INDEX(_xlpm.colData,_xlpm.rowRegion+_xlpm.rowUser))</f>
        <v>1500</v>
      </c>
      <c r="AM167" s="124">
        <f>_xlfn.LET(
    _xlpm.data, 'Base Stations Profiles'!$B:$AJ,
    _xlpm.colSite, INDEX(_xlpm.data,,1),
    _xlpm.colauto, INDEX(_xlpm.data,,3),
    _xlpm.colData, INDEX(_xlpm.data,,2),
    _xlpm.rowRegion, MATCH(AF167, _xlpm.colSite, 0),
    _xlpm.rowThroughput, MATCH("Maximum Throughput for Downlink per Site", _xlfn.DROP(_xlpm.colSite, _xlpm.rowRegion), 0),
    IF(INDEX(_xlpm.colauto, _xlpm.rowRegion + _xlpm.rowThroughput)='Model Configurator Sup'!$M$4,VLOOKUP(AF167,'Base Stations Parameters'!$B:$AI,4,0),INDEX(_xlpm.colData, _xlpm.rowRegion + _xlpm.rowThroughput))
)</f>
        <v>12000</v>
      </c>
      <c r="AN167" s="106">
        <f ca="1">IF($AK167&lt;=0,0,AI167/(AL167*$AK167))</f>
        <v>1.8445641025641026</v>
      </c>
      <c r="AO167" s="106">
        <f ca="1">IF($AK167&lt;=0,0,AJ167/(AM167*$AK167))</f>
        <v>4.8977951929717739E-2</v>
      </c>
      <c r="AP167" s="130">
        <f>VLOOKUP(AF167,'Base Stations Parameters'!$B:$AH,3,0)</f>
        <v>145000</v>
      </c>
      <c r="AQ167">
        <f ca="1">ROUNDUP(MAX(AI167/AL167-AK167,AJ167/AM167-AK167,0),0)</f>
        <v>22</v>
      </c>
      <c r="AR167" s="130">
        <f ca="1">AQ167*AP167</f>
        <v>3190000</v>
      </c>
    </row>
    <row r="168" spans="2:44" ht="15.75" customHeight="1" thickBot="1" x14ac:dyDescent="0.3">
      <c r="B168" s="69" t="s">
        <v>170</v>
      </c>
      <c r="D168" s="125">
        <v>0.15</v>
      </c>
      <c r="E168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)*D168,0)</f>
        <v>35410</v>
      </c>
      <c r="F168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)*D168</f>
        <v>10702.007607497586</v>
      </c>
      <c r="G168" s="105">
        <f>INDEX('Sites per Region'!$A:$Z, MATCH(B168,'Sites per Region'!$B:$B,0), MATCH(C$161,'Sites per Region'!$8:$8, 0))</f>
        <v>26</v>
      </c>
      <c r="H168" s="105">
        <f>_xlfn.LET(
_xlpm.data,'Base Stations Profiles'!$B:$E,
_xlpm.colSite,INDEX(_xlpm.data,,1),
_xlpm.colData,INDEX(_xlpm.data,,2),
_xlpm.rowRegion,MATCH(B168,_xlpm.colSite,0),
_xlpm.rowUser,MATCH("Maximum Simultaneously Active Users per Site",_xlfn.DROP(_xlpm.colSite,_xlpm.rowRegion),0),
INDEX(_xlpm.colData,_xlpm.rowRegion+_xlpm.rowUser))</f>
        <v>1500</v>
      </c>
      <c r="I168" s="124">
        <f>_xlfn.LET(
    _xlpm.data, 'Base Stations Profiles'!$B:$F,
    _xlpm.colSite, INDEX(_xlpm.data,,1),
    _xlpm.colauto, INDEX(_xlpm.data,,3),
    _xlpm.colData, INDEX(_xlpm.data,,2),
    _xlpm.rowRegion, MATCH(B168, _xlpm.colSite, 0),
    _xlpm.rowThroughput, MATCH("Maximum Throughput for Downlink per Site", _xlfn.DROP(_xlpm.colSite, _xlpm.rowRegion), 0),
    IF(INDEX(_xlpm.colauto, _xlpm.rowRegion + _xlpm.rowThroughput)='Model Configurator Sup'!$M$4,VLOOKUP(B168,'Base Stations Parameters'!$B:$E,4,0),INDEX(_xlpm.colData, _xlpm.rowRegion + _xlpm.rowThroughput))
)</f>
        <v>12000</v>
      </c>
      <c r="J168" s="106">
        <f ca="1">IF($G168&lt;=0,0,E168/(H168*$G168))</f>
        <v>0.9079487179487179</v>
      </c>
      <c r="K168" s="106">
        <f ca="1">IF($G168&lt;=0,0,F168/(I168*$G168))</f>
        <v>3.4301306434287138E-2</v>
      </c>
      <c r="L168" s="130">
        <f>VLOOKUP(B168,'Base Stations Parameters'!$B:$D,3,0)</f>
        <v>100000</v>
      </c>
      <c r="M168">
        <f ca="1">ROUNDUP(MAX(E168/H168-G168,F168/I168-G168,0),0)</f>
        <v>0</v>
      </c>
      <c r="N168" s="130">
        <f ca="1">M168*L168</f>
        <v>0</v>
      </c>
      <c r="Q168" s="69" t="s">
        <v>170</v>
      </c>
      <c r="S168" s="125">
        <v>0.15</v>
      </c>
      <c r="T168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)*S168,0)</f>
        <v>42530</v>
      </c>
      <c r="U168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)*S168</f>
        <v>11675.054606672644</v>
      </c>
      <c r="V168" s="105">
        <f>INDEX('Sites per Region'!$A:$AO, MATCH(Q168,'Sites per Region'!$B:$B,0), MATCH(R$161,'Sites per Region'!$8:$8, 0))</f>
        <v>26</v>
      </c>
      <c r="W168" s="105">
        <f>_xlfn.LET(
_xlpm.data,'Base Stations Profiles'!$B:$T,
_xlpm.colSite,INDEX(_xlpm.data,,1),
_xlpm.colData,INDEX(_xlpm.data,,2),
_xlpm.rowRegion,MATCH(Q168,_xlpm.colSite,0),
_xlpm.rowUser,MATCH("Maximum Simultaneously Active Users per Site",_xlfn.DROP(_xlpm.colSite,_xlpm.rowRegion),0),
INDEX(_xlpm.colData,_xlpm.rowRegion+_xlpm.rowUser))</f>
        <v>1500</v>
      </c>
      <c r="X168" s="124">
        <f>_xlfn.LET(
    _xlpm.data, 'Base Stations Profiles'!$B:$U,
    _xlpm.colSite, INDEX(_xlpm.data,,1),
    _xlpm.colauto, INDEX(_xlpm.data,,3),
    _xlpm.colData, INDEX(_xlpm.data,,2),
    _xlpm.rowRegion, MATCH(Q168, _xlpm.colSite, 0),
    _xlpm.rowThroughput, MATCH("Maximum Throughput for Downlink per Site", _xlfn.DROP(_xlpm.colSite, _xlpm.rowRegion), 0),
    IF(INDEX(_xlpm.colauto, _xlpm.rowRegion + _xlpm.rowThroughput)='Model Configurator Sup'!$M$4,VLOOKUP(Q168,'Base Stations Parameters'!$B:$T,4,0),INDEX(_xlpm.colData, _xlpm.rowRegion + _xlpm.rowThroughput))
)</f>
        <v>12000</v>
      </c>
      <c r="Y168" s="106">
        <f ca="1">IF($V168&lt;=0,0,T168/(W168*$V168))</f>
        <v>1.0905128205128205</v>
      </c>
      <c r="Z168" s="106">
        <f ca="1">IF($V168&lt;=0,0,U168/(X168*$V168))</f>
        <v>3.7420046816258476E-2</v>
      </c>
      <c r="AA168" s="130">
        <f>VLOOKUP(Q168,'Base Stations Parameters'!$B:$S,3,0)</f>
        <v>100000</v>
      </c>
      <c r="AB168">
        <f ca="1">ROUNDUP(MAX(T168/W168-V168,U168/X168-V168,0),0)</f>
        <v>3</v>
      </c>
      <c r="AC168" s="130">
        <f ca="1">AB168*AA168</f>
        <v>300000</v>
      </c>
      <c r="AF168" s="69" t="s">
        <v>170</v>
      </c>
      <c r="AH168" s="125">
        <v>0.15</v>
      </c>
      <c r="AI168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)*AH168,0)</f>
        <v>71938</v>
      </c>
      <c r="AJ168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)*AH168</f>
        <v>15281.121002071935</v>
      </c>
      <c r="AK168" s="105">
        <f>INDEX('Sites per Region'!$A:$BD, MATCH(AF168,'Sites per Region'!$B:$B,0), MATCH(AG$161,'Sites per Region'!$8:$8, 0))</f>
        <v>26</v>
      </c>
      <c r="AL168" s="105">
        <f>_xlfn.LET(
_xlpm.data,'Base Stations Profiles'!$B:$AI,
_xlpm.colSite,INDEX(_xlpm.data,,1),
_xlpm.colData,INDEX(_xlpm.data,,2),
_xlpm.rowRegion,MATCH(AF168,_xlpm.colSite,0),
_xlpm.rowUser,MATCH("Maximum Simultaneously Active Users per Site",_xlfn.DROP(_xlpm.colSite,_xlpm.rowRegion),0),
INDEX(_xlpm.colData,_xlpm.rowRegion+_xlpm.rowUser))</f>
        <v>1500</v>
      </c>
      <c r="AM168" s="124">
        <f>_xlfn.LET(
    _xlpm.data, 'Base Stations Profiles'!$B:$AJ,
    _xlpm.colSite, INDEX(_xlpm.data,,1),
    _xlpm.colauto, INDEX(_xlpm.data,,3),
    _xlpm.colData, INDEX(_xlpm.data,,2),
    _xlpm.rowRegion, MATCH(AF168, _xlpm.colSite, 0),
    _xlpm.rowThroughput, MATCH("Maximum Throughput for Downlink per Site", _xlfn.DROP(_xlpm.colSite, _xlpm.rowRegion), 0),
    IF(INDEX(_xlpm.colauto, _xlpm.rowRegion + _xlpm.rowThroughput)='Model Configurator Sup'!$M$4,VLOOKUP(AF168,'Base Stations Parameters'!$B:$AI,4,0),INDEX(_xlpm.colData, _xlpm.rowRegion + _xlpm.rowThroughput))
)</f>
        <v>12000</v>
      </c>
      <c r="AN168" s="106">
        <f ca="1">IF($AK168&lt;=0,0,AI168/(AL168*$AK168))</f>
        <v>1.8445641025641026</v>
      </c>
      <c r="AO168" s="106">
        <f ca="1">IF($AK168&lt;=0,0,AJ168/(AM168*$AK168))</f>
        <v>4.8977951929717739E-2</v>
      </c>
      <c r="AP168" s="130">
        <f>VLOOKUP(AF168,'Base Stations Parameters'!$B:$AH,3,0)</f>
        <v>100000</v>
      </c>
      <c r="AQ168">
        <f ca="1">ROUNDUP(MAX(AI168/AL168-AK168,AJ168/AM168-AK168,0),0)</f>
        <v>22</v>
      </c>
      <c r="AR168" s="130">
        <f ca="1">AQ168*AP168</f>
        <v>2200000</v>
      </c>
    </row>
    <row r="169" spans="2:44" ht="15.75" customHeight="1" thickBot="1" x14ac:dyDescent="0.3">
      <c r="B169" s="69" t="s">
        <v>247</v>
      </c>
      <c r="D169" s="125">
        <v>7.4999999999999997E-2</v>
      </c>
      <c r="E169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)*D169,0)</f>
        <v>17705</v>
      </c>
      <c r="F169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)*D169</f>
        <v>5351.003803748793</v>
      </c>
      <c r="G169" s="105">
        <f>INDEX('Sites per Region'!$A:$Z, MATCH(B169,'Sites per Region'!$B:$B,0), MATCH(C$161,'Sites per Region'!$8:$8, 0))</f>
        <v>32.5</v>
      </c>
      <c r="H169" s="105">
        <f>_xlfn.LET(
_xlpm.data,'Base Stations Profiles'!$B:$E,
_xlpm.colSite,INDEX(_xlpm.data,,1),
_xlpm.colData,INDEX(_xlpm.data,,2),
_xlpm.rowRegion,MATCH(B169,_xlpm.colSite,0),
_xlpm.rowUser,MATCH("Maximum Simultaneously Active Users per Site",_xlfn.DROP(_xlpm.colSite,_xlpm.rowRegion),0),
INDEX(_xlpm.colData,_xlpm.rowRegion+_xlpm.rowUser))</f>
        <v>750</v>
      </c>
      <c r="I169" s="124">
        <f>_xlfn.LET(
    _xlpm.data, 'Base Stations Profiles'!$B:$F,
    _xlpm.colSite, INDEX(_xlpm.data,,1),
    _xlpm.colauto, INDEX(_xlpm.data,,3),
    _xlpm.colData, INDEX(_xlpm.data,,2),
    _xlpm.rowRegion, MATCH(B169, _xlpm.colSite, 0),
    _xlpm.rowThroughput, MATCH("Maximum Throughput for Downlink per Site", _xlfn.DROP(_xlpm.colSite, _xlpm.rowRegion), 0),
    IF(INDEX(_xlpm.colauto, _xlpm.rowRegion + _xlpm.rowThroughput)='Model Configurator Sup'!$M$4,VLOOKUP(B169,'Base Stations Parameters'!$B:$E,4,0),INDEX(_xlpm.colData, _xlpm.rowRegion + _xlpm.rowThroughput))
)</f>
        <v>5000</v>
      </c>
      <c r="J169" s="106">
        <f ca="1">IF($G169&lt;=0,0,E169/(H169*$G169))</f>
        <v>0.72635897435897434</v>
      </c>
      <c r="K169" s="106">
        <f ca="1">IF($G169&lt;=0,0,F169/(I169*$G169))</f>
        <v>3.2929254176915647E-2</v>
      </c>
      <c r="L169" s="130">
        <f>VLOOKUP(B169,'Base Stations Parameters'!$B:$D,3,0)</f>
        <v>100000</v>
      </c>
      <c r="M169">
        <f ca="1">ROUNDUP(MAX(E169/H169-G169,F169/I169-G169,0),0)</f>
        <v>0</v>
      </c>
      <c r="N169" s="130">
        <f ca="1">M169*L169</f>
        <v>0</v>
      </c>
      <c r="Q169" s="69" t="s">
        <v>247</v>
      </c>
      <c r="S169" s="125">
        <v>7.4999999999999997E-2</v>
      </c>
      <c r="T169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)*S169,0)</f>
        <v>21265</v>
      </c>
      <c r="U169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)*S169</f>
        <v>5837.5273033363219</v>
      </c>
      <c r="V169" s="105">
        <f>INDEX('Sites per Region'!$A:$AO, MATCH(Q169,'Sites per Region'!$B:$B,0), MATCH(R$161,'Sites per Region'!$8:$8, 0))</f>
        <v>32.5</v>
      </c>
      <c r="W169" s="105">
        <f>_xlfn.LET(
_xlpm.data,'Base Stations Profiles'!$B:$T,
_xlpm.colSite,INDEX(_xlpm.data,,1),
_xlpm.colData,INDEX(_xlpm.data,,2),
_xlpm.rowRegion,MATCH(Q169,_xlpm.colSite,0),
_xlpm.rowUser,MATCH("Maximum Simultaneously Active Users per Site",_xlfn.DROP(_xlpm.colSite,_xlpm.rowRegion),0),
INDEX(_xlpm.colData,_xlpm.rowRegion+_xlpm.rowUser))</f>
        <v>750</v>
      </c>
      <c r="X169" s="124">
        <f>_xlfn.LET(
    _xlpm.data, 'Base Stations Profiles'!$B:$U,
    _xlpm.colSite, INDEX(_xlpm.data,,1),
    _xlpm.colauto, INDEX(_xlpm.data,,3),
    _xlpm.colData, INDEX(_xlpm.data,,2),
    _xlpm.rowRegion, MATCH(Q169, _xlpm.colSite, 0),
    _xlpm.rowThroughput, MATCH("Maximum Throughput for Downlink per Site", _xlfn.DROP(_xlpm.colSite, _xlpm.rowRegion), 0),
    IF(INDEX(_xlpm.colauto, _xlpm.rowRegion + _xlpm.rowThroughput)='Model Configurator Sup'!$M$4,VLOOKUP(Q169,'Base Stations Parameters'!$B:$T,4,0),INDEX(_xlpm.colData, _xlpm.rowRegion + _xlpm.rowThroughput))
)</f>
        <v>5000</v>
      </c>
      <c r="Y169" s="106">
        <f ca="1">IF($V169&lt;=0,0,T169/(W169*$V169))</f>
        <v>0.87241025641025638</v>
      </c>
      <c r="Z169" s="106">
        <f ca="1">IF($V169&lt;=0,0,U169/(X169*$V169))</f>
        <v>3.5923244943608136E-2</v>
      </c>
      <c r="AA169" s="130">
        <f>VLOOKUP(Q169,'Base Stations Parameters'!$B:$S,3,0)</f>
        <v>100000</v>
      </c>
      <c r="AB169">
        <f ca="1">ROUNDUP(MAX(T169/W169-V169,U169/X169-V169,0),0)</f>
        <v>0</v>
      </c>
      <c r="AC169" s="130">
        <f ca="1">AB169*AA169</f>
        <v>0</v>
      </c>
      <c r="AF169" s="69" t="s">
        <v>247</v>
      </c>
      <c r="AH169" s="125">
        <v>7.4999999999999997E-2</v>
      </c>
      <c r="AI169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)*AH169,0)</f>
        <v>35969</v>
      </c>
      <c r="AJ169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)*AH169</f>
        <v>7640.5605010359677</v>
      </c>
      <c r="AK169" s="105">
        <f>INDEX('Sites per Region'!$A:$BD, MATCH(AF169,'Sites per Region'!$B:$B,0), MATCH(AG$161,'Sites per Region'!$8:$8, 0))</f>
        <v>32.5</v>
      </c>
      <c r="AL169" s="105">
        <f>_xlfn.LET(
_xlpm.data,'Base Stations Profiles'!$B:$AI,
_xlpm.colSite,INDEX(_xlpm.data,,1),
_xlpm.colData,INDEX(_xlpm.data,,2),
_xlpm.rowRegion,MATCH(AF169,_xlpm.colSite,0),
_xlpm.rowUser,MATCH("Maximum Simultaneously Active Users per Site",_xlfn.DROP(_xlpm.colSite,_xlpm.rowRegion),0),
INDEX(_xlpm.colData,_xlpm.rowRegion+_xlpm.rowUser))</f>
        <v>750</v>
      </c>
      <c r="AM169" s="124">
        <f>_xlfn.LET(
    _xlpm.data, 'Base Stations Profiles'!$B:$AJ,
    _xlpm.colSite, INDEX(_xlpm.data,,1),
    _xlpm.colauto, INDEX(_xlpm.data,,3),
    _xlpm.colData, INDEX(_xlpm.data,,2),
    _xlpm.rowRegion, MATCH(AF169, _xlpm.colSite, 0),
    _xlpm.rowThroughput, MATCH("Maximum Throughput for Downlink per Site", _xlfn.DROP(_xlpm.colSite, _xlpm.rowRegion), 0),
    IF(INDEX(_xlpm.colauto, _xlpm.rowRegion + _xlpm.rowThroughput)='Model Configurator Sup'!$M$4,VLOOKUP(AF169,'Base Stations Parameters'!$B:$AI,4,0),INDEX(_xlpm.colData, _xlpm.rowRegion + _xlpm.rowThroughput))
)</f>
        <v>5000</v>
      </c>
      <c r="AN169" s="106">
        <f ca="1">IF($AK169&lt;=0,0,AI169/(AL169*$AK169))</f>
        <v>1.4756512820512822</v>
      </c>
      <c r="AO169" s="106">
        <f ca="1">IF($AK169&lt;=0,0,AJ169/(AM169*$AK169))</f>
        <v>4.7018833852529029E-2</v>
      </c>
      <c r="AP169" s="130">
        <f>VLOOKUP(AF169,'Base Stations Parameters'!$B:$AH,3,0)</f>
        <v>100000</v>
      </c>
      <c r="AQ169">
        <f ca="1">ROUNDUP(MAX(AI169/AL169-AK169,AJ169/AM169-AK169,0),0)</f>
        <v>16</v>
      </c>
      <c r="AR169" s="130">
        <f ca="1">AQ169*AP169</f>
        <v>1600000</v>
      </c>
    </row>
    <row r="170" spans="2:44" ht="15.75" customHeight="1" thickBot="1" x14ac:dyDescent="0.3">
      <c r="B170" s="69" t="s">
        <v>171</v>
      </c>
      <c r="D170" s="125">
        <v>7.4999999999999997E-2</v>
      </c>
      <c r="E170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)*D170,0)</f>
        <v>17705</v>
      </c>
      <c r="F170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)*D170</f>
        <v>5351.003803748793</v>
      </c>
      <c r="G170" s="105">
        <f>INDEX('Sites per Region'!$A:$Z, MATCH(B170,'Sites per Region'!$B:$B,0), MATCH(C$161,'Sites per Region'!$8:$8, 0))</f>
        <v>32.5</v>
      </c>
      <c r="H170" s="105">
        <f>_xlfn.LET(
_xlpm.data,'Base Stations Profiles'!$B:$E,
_xlpm.colSite,INDEX(_xlpm.data,,1),
_xlpm.colData,INDEX(_xlpm.data,,2),
_xlpm.rowRegion,MATCH(B170,_xlpm.colSite,0),
_xlpm.rowUser,MATCH("Maximum Simultaneously Active Users per Site",_xlfn.DROP(_xlpm.colSite,_xlpm.rowRegion),0),
INDEX(_xlpm.colData,_xlpm.rowRegion+_xlpm.rowUser))</f>
        <v>750</v>
      </c>
      <c r="I170" s="124">
        <f>_xlfn.LET(
    _xlpm.data, 'Base Stations Profiles'!$B:$F,
    _xlpm.colSite, INDEX(_xlpm.data,,1),
    _xlpm.colauto, INDEX(_xlpm.data,,3),
    _xlpm.colData, INDEX(_xlpm.data,,2),
    _xlpm.rowRegion, MATCH(B170, _xlpm.colSite, 0),
    _xlpm.rowThroughput, MATCH("Maximum Throughput for Downlink per Site", _xlfn.DROP(_xlpm.colSite, _xlpm.rowRegion), 0),
    IF(INDEX(_xlpm.colauto, _xlpm.rowRegion + _xlpm.rowThroughput)='Model Configurator Sup'!$M$4,VLOOKUP(B170,'Base Stations Parameters'!$B:$E,4,0),INDEX(_xlpm.colData, _xlpm.rowRegion + _xlpm.rowThroughput))
)</f>
        <v>5000</v>
      </c>
      <c r="J170" s="106">
        <f ca="1">IF($G170&lt;=0,0,E170/(H170*$G170))</f>
        <v>0.72635897435897434</v>
      </c>
      <c r="K170" s="106">
        <f ca="1">IF($G170&lt;=0,0,F170/(I170*$G170))</f>
        <v>3.2929254176915647E-2</v>
      </c>
      <c r="L170" s="130">
        <f>VLOOKUP(B170,'Base Stations Parameters'!$B:$D,3,0)</f>
        <v>95000</v>
      </c>
      <c r="M170">
        <f ca="1">ROUNDUP(MAX(E170/H170-G170,F170/I170-G170,0),0)</f>
        <v>0</v>
      </c>
      <c r="N170" s="130">
        <f ca="1">M170*L170</f>
        <v>0</v>
      </c>
      <c r="Q170" s="69" t="s">
        <v>171</v>
      </c>
      <c r="S170" s="125">
        <v>7.4999999999999997E-2</v>
      </c>
      <c r="T170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)*S170,0)</f>
        <v>21265</v>
      </c>
      <c r="U170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)*S170</f>
        <v>5837.5273033363219</v>
      </c>
      <c r="V170" s="105">
        <f>INDEX('Sites per Region'!$A:$AO, MATCH(Q170,'Sites per Region'!$B:$B,0), MATCH(R$161,'Sites per Region'!$8:$8, 0))</f>
        <v>32.5</v>
      </c>
      <c r="W170" s="105">
        <f>_xlfn.LET(
_xlpm.data,'Base Stations Profiles'!$B:$T,
_xlpm.colSite,INDEX(_xlpm.data,,1),
_xlpm.colData,INDEX(_xlpm.data,,2),
_xlpm.rowRegion,MATCH(Q170,_xlpm.colSite,0),
_xlpm.rowUser,MATCH("Maximum Simultaneously Active Users per Site",_xlfn.DROP(_xlpm.colSite,_xlpm.rowRegion),0),
INDEX(_xlpm.colData,_xlpm.rowRegion+_xlpm.rowUser))</f>
        <v>750</v>
      </c>
      <c r="X170" s="124">
        <f>_xlfn.LET(
    _xlpm.data, 'Base Stations Profiles'!$B:$U,
    _xlpm.colSite, INDEX(_xlpm.data,,1),
    _xlpm.colauto, INDEX(_xlpm.data,,3),
    _xlpm.colData, INDEX(_xlpm.data,,2),
    _xlpm.rowRegion, MATCH(Q170, _xlpm.colSite, 0),
    _xlpm.rowThroughput, MATCH("Maximum Throughput for Downlink per Site", _xlfn.DROP(_xlpm.colSite, _xlpm.rowRegion), 0),
    IF(INDEX(_xlpm.colauto, _xlpm.rowRegion + _xlpm.rowThroughput)='Model Configurator Sup'!$M$4,VLOOKUP(Q170,'Base Stations Parameters'!$B:$T,4,0),INDEX(_xlpm.colData, _xlpm.rowRegion + _xlpm.rowThroughput))
)</f>
        <v>5000</v>
      </c>
      <c r="Y170" s="106">
        <f ca="1">IF($V170&lt;=0,0,T170/(W170*$V170))</f>
        <v>0.87241025641025638</v>
      </c>
      <c r="Z170" s="106">
        <f ca="1">IF($V170&lt;=0,0,U170/(X170*$V170))</f>
        <v>3.5923244943608136E-2</v>
      </c>
      <c r="AA170" s="130">
        <f>VLOOKUP(Q170,'Base Stations Parameters'!$B:$S,3,0)</f>
        <v>95000</v>
      </c>
      <c r="AB170">
        <f ca="1">ROUNDUP(MAX(T170/W170-V170,U170/X170-V170,0),0)</f>
        <v>0</v>
      </c>
      <c r="AC170" s="130">
        <f ca="1">AB170*AA170</f>
        <v>0</v>
      </c>
      <c r="AF170" s="69" t="s">
        <v>171</v>
      </c>
      <c r="AH170" s="125">
        <v>7.4999999999999997E-2</v>
      </c>
      <c r="AI170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)*AH170,0)</f>
        <v>35969</v>
      </c>
      <c r="AJ170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)*AH170</f>
        <v>7640.5605010359677</v>
      </c>
      <c r="AK170" s="105">
        <f>INDEX('Sites per Region'!$A:$BD, MATCH(AF170,'Sites per Region'!$B:$B,0), MATCH(AG$161,'Sites per Region'!$8:$8, 0))</f>
        <v>32.5</v>
      </c>
      <c r="AL170" s="105">
        <f>_xlfn.LET(
_xlpm.data,'Base Stations Profiles'!$B:$AI,
_xlpm.colSite,INDEX(_xlpm.data,,1),
_xlpm.colData,INDEX(_xlpm.data,,2),
_xlpm.rowRegion,MATCH(AF170,_xlpm.colSite,0),
_xlpm.rowUser,MATCH("Maximum Simultaneously Active Users per Site",_xlfn.DROP(_xlpm.colSite,_xlpm.rowRegion),0),
INDEX(_xlpm.colData,_xlpm.rowRegion+_xlpm.rowUser))</f>
        <v>750</v>
      </c>
      <c r="AM170" s="124">
        <f>_xlfn.LET(
    _xlpm.data, 'Base Stations Profiles'!$B:$AJ,
    _xlpm.colSite, INDEX(_xlpm.data,,1),
    _xlpm.colauto, INDEX(_xlpm.data,,3),
    _xlpm.colData, INDEX(_xlpm.data,,2),
    _xlpm.rowRegion, MATCH(AF170, _xlpm.colSite, 0),
    _xlpm.rowThroughput, MATCH("Maximum Throughput for Downlink per Site", _xlfn.DROP(_xlpm.colSite, _xlpm.rowRegion), 0),
    IF(INDEX(_xlpm.colauto, _xlpm.rowRegion + _xlpm.rowThroughput)='Model Configurator Sup'!$M$4,VLOOKUP(AF170,'Base Stations Parameters'!$B:$AI,4,0),INDEX(_xlpm.colData, _xlpm.rowRegion + _xlpm.rowThroughput))
)</f>
        <v>5000</v>
      </c>
      <c r="AN170" s="106">
        <f ca="1">IF($AK170&lt;=0,0,AI170/(AL170*$AK170))</f>
        <v>1.4756512820512822</v>
      </c>
      <c r="AO170" s="106">
        <f ca="1">IF($AK170&lt;=0,0,AJ170/(AM170*$AK170))</f>
        <v>4.7018833852529029E-2</v>
      </c>
      <c r="AP170" s="130">
        <f>VLOOKUP(AF170,'Base Stations Parameters'!$B:$AH,3,0)</f>
        <v>95000</v>
      </c>
      <c r="AQ170">
        <f ca="1">ROUNDUP(MAX(AI170/AL170-AK170,AJ170/AM170-AK170,0),0)</f>
        <v>16</v>
      </c>
      <c r="AR170" s="130">
        <f ca="1">AQ170*AP170</f>
        <v>1520000</v>
      </c>
    </row>
    <row r="171" spans="2:44" ht="15.75" customHeight="1" thickBot="1" x14ac:dyDescent="0.3">
      <c r="B171" s="69" t="s">
        <v>248</v>
      </c>
      <c r="D171" s="125">
        <v>0.05</v>
      </c>
      <c r="E171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)*D171,0)</f>
        <v>11803</v>
      </c>
      <c r="F171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)*D171</f>
        <v>3567.3358691658623</v>
      </c>
      <c r="G171" s="105">
        <f>INDEX('Sites per Region'!$A:$Z, MATCH(B171,'Sites per Region'!$B:$B,0), MATCH(C$161,'Sites per Region'!$8:$8, 0))</f>
        <v>43</v>
      </c>
      <c r="H171" s="105">
        <f>_xlfn.LET(
_xlpm.data,'Base Stations Profiles'!$B:$E,
_xlpm.colSite,INDEX(_xlpm.data,,1),
_xlpm.colData,INDEX(_xlpm.data,,2),
_xlpm.rowRegion,MATCH(B171,_xlpm.colSite,0),
_xlpm.rowUser,MATCH("Maximum Simultaneously Active Users per Site",_xlfn.DROP(_xlpm.colSite,_xlpm.rowRegion),0),
INDEX(_xlpm.colData,_xlpm.rowRegion+_xlpm.rowUser))</f>
        <v>1500</v>
      </c>
      <c r="I171" s="124">
        <f>_xlfn.LET(
    _xlpm.data, 'Base Stations Profiles'!$B:$F,
    _xlpm.colSite, INDEX(_xlpm.data,,1),
    _xlpm.colauto, INDEX(_xlpm.data,,3),
    _xlpm.colData, INDEX(_xlpm.data,,2),
    _xlpm.rowRegion, MATCH(B171, _xlpm.colSite, 0),
    _xlpm.rowThroughput, MATCH("Maximum Throughput for Downlink per Site", _xlfn.DROP(_xlpm.colSite, _xlpm.rowRegion), 0),
    IF(INDEX(_xlpm.colauto, _xlpm.rowRegion + _xlpm.rowThroughput)='Model Configurator Sup'!$M$4,VLOOKUP(B171,'Base Stations Parameters'!$B:$E,4,0),INDEX(_xlpm.colData, _xlpm.rowRegion + _xlpm.rowThroughput))
)</f>
        <v>2000</v>
      </c>
      <c r="J171" s="106">
        <f ca="1">IF($G171&lt;=0,0,E171/(H171*$G171))</f>
        <v>0.1829922480620155</v>
      </c>
      <c r="K171" s="106">
        <f ca="1">IF($G171&lt;=0,0,F171/(I171*$G171))</f>
        <v>4.1480649641463516E-2</v>
      </c>
      <c r="L171" s="130">
        <f>VLOOKUP(B171,'Base Stations Parameters'!$B:$D,3,0)</f>
        <v>95000</v>
      </c>
      <c r="M171">
        <f ca="1">ROUNDUP(MAX(E171/H171-G171,F171/I171-G171,0),0)</f>
        <v>0</v>
      </c>
      <c r="N171" s="130">
        <f ca="1">M171*L171</f>
        <v>0</v>
      </c>
      <c r="Q171" s="69" t="s">
        <v>248</v>
      </c>
      <c r="S171" s="125">
        <v>0.05</v>
      </c>
      <c r="T171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)*S171,0)</f>
        <v>14176</v>
      </c>
      <c r="U171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)*S171</f>
        <v>3891.6848688908817</v>
      </c>
      <c r="V171" s="105">
        <f>INDEX('Sites per Region'!$A:$AO, MATCH(Q171,'Sites per Region'!$B:$B,0), MATCH(R$161,'Sites per Region'!$8:$8, 0))</f>
        <v>43</v>
      </c>
      <c r="W171" s="105">
        <f>_xlfn.LET(
_xlpm.data,'Base Stations Profiles'!$B:$T,
_xlpm.colSite,INDEX(_xlpm.data,,1),
_xlpm.colData,INDEX(_xlpm.data,,2),
_xlpm.rowRegion,MATCH(Q171,_xlpm.colSite,0),
_xlpm.rowUser,MATCH("Maximum Simultaneously Active Users per Site",_xlfn.DROP(_xlpm.colSite,_xlpm.rowRegion),0),
INDEX(_xlpm.colData,_xlpm.rowRegion+_xlpm.rowUser))</f>
        <v>1500</v>
      </c>
      <c r="X171" s="124">
        <f>_xlfn.LET(
    _xlpm.data, 'Base Stations Profiles'!$B:$U,
    _xlpm.colSite, INDEX(_xlpm.data,,1),
    _xlpm.colauto, INDEX(_xlpm.data,,3),
    _xlpm.colData, INDEX(_xlpm.data,,2),
    _xlpm.rowRegion, MATCH(Q171, _xlpm.colSite, 0),
    _xlpm.rowThroughput, MATCH("Maximum Throughput for Downlink per Site", _xlfn.DROP(_xlpm.colSite, _xlpm.rowRegion), 0),
    IF(INDEX(_xlpm.colauto, _xlpm.rowRegion + _xlpm.rowThroughput)='Model Configurator Sup'!$M$4,VLOOKUP(Q171,'Base Stations Parameters'!$B:$T,4,0),INDEX(_xlpm.colData, _xlpm.rowRegion + _xlpm.rowThroughput))
)</f>
        <v>2000</v>
      </c>
      <c r="Y171" s="106">
        <f ca="1">IF($V171&lt;=0,0,T171/(W171*$V171))</f>
        <v>0.21978294573643412</v>
      </c>
      <c r="Z171" s="106">
        <f ca="1">IF($V171&lt;=0,0,U171/(X171*$V171))</f>
        <v>4.5252149638266063E-2</v>
      </c>
      <c r="AA171" s="130">
        <f>VLOOKUP(Q171,'Base Stations Parameters'!$B:$S,3,0)</f>
        <v>95000</v>
      </c>
      <c r="AB171">
        <f ca="1">ROUNDUP(MAX(T171/W171-V171,U171/X171-V171,0),0)</f>
        <v>0</v>
      </c>
      <c r="AC171" s="130">
        <f ca="1">AB171*AA171</f>
        <v>0</v>
      </c>
      <c r="AF171" s="69" t="s">
        <v>248</v>
      </c>
      <c r="AH171" s="125">
        <v>0.05</v>
      </c>
      <c r="AI171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)*AH171,0)</f>
        <v>23979</v>
      </c>
      <c r="AJ171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)*AH171</f>
        <v>5093.7070006906461</v>
      </c>
      <c r="AK171" s="105">
        <f>INDEX('Sites per Region'!$A:$BD, MATCH(AF171,'Sites per Region'!$B:$B,0), MATCH(AG$161,'Sites per Region'!$8:$8, 0))</f>
        <v>43</v>
      </c>
      <c r="AL171" s="105">
        <f>_xlfn.LET(
_xlpm.data,'Base Stations Profiles'!$B:$AI,
_xlpm.colSite,INDEX(_xlpm.data,,1),
_xlpm.colData,INDEX(_xlpm.data,,2),
_xlpm.rowRegion,MATCH(AF171,_xlpm.colSite,0),
_xlpm.rowUser,MATCH("Maximum Simultaneously Active Users per Site",_xlfn.DROP(_xlpm.colSite,_xlpm.rowRegion),0),
INDEX(_xlpm.colData,_xlpm.rowRegion+_xlpm.rowUser))</f>
        <v>1500</v>
      </c>
      <c r="AM171" s="124">
        <f>_xlfn.LET(
    _xlpm.data, 'Base Stations Profiles'!$B:$AJ,
    _xlpm.colSite, INDEX(_xlpm.data,,1),
    _xlpm.colauto, INDEX(_xlpm.data,,3),
    _xlpm.colData, INDEX(_xlpm.data,,2),
    _xlpm.rowRegion, MATCH(AF171, _xlpm.colSite, 0),
    _xlpm.rowThroughput, MATCH("Maximum Throughput for Downlink per Site", _xlfn.DROP(_xlpm.colSite, _xlpm.rowRegion), 0),
    IF(INDEX(_xlpm.colauto, _xlpm.rowRegion + _xlpm.rowThroughput)='Model Configurator Sup'!$M$4,VLOOKUP(AF171,'Base Stations Parameters'!$B:$AI,4,0),INDEX(_xlpm.colData, _xlpm.rowRegion + _xlpm.rowThroughput))
)</f>
        <v>2000</v>
      </c>
      <c r="AN171" s="106">
        <f ca="1">IF($AK171&lt;=0,0,AI171/(AL171*$AK171))</f>
        <v>0.37176744186046512</v>
      </c>
      <c r="AO171" s="106">
        <f ca="1">IF($AK171&lt;=0,0,AJ171/(AM171*$AK171))</f>
        <v>5.9229151170821469E-2</v>
      </c>
      <c r="AP171" s="130">
        <f>VLOOKUP(AF171,'Base Stations Parameters'!$B:$AH,3,0)</f>
        <v>95000</v>
      </c>
      <c r="AQ171">
        <f ca="1">ROUNDUP(MAX(AI171/AL171-AK171,AJ171/AM171-AK171,0),0)</f>
        <v>0</v>
      </c>
      <c r="AR171" s="130">
        <f ca="1">AQ171*AP171</f>
        <v>0</v>
      </c>
    </row>
    <row r="172" spans="2:44" ht="15.75" customHeight="1" thickBot="1" x14ac:dyDescent="0.3">
      <c r="B172" s="69" t="s">
        <v>172</v>
      </c>
      <c r="D172" s="125">
        <v>0.05</v>
      </c>
      <c r="E172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)*D172,0)</f>
        <v>11803</v>
      </c>
      <c r="F172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)*D172</f>
        <v>3567.3358691658623</v>
      </c>
      <c r="G172" s="105">
        <f>INDEX('Sites per Region'!$A:$Z, MATCH(B172,'Sites per Region'!$B:$B,0), MATCH(C$161,'Sites per Region'!$8:$8, 0))</f>
        <v>43</v>
      </c>
      <c r="H172" s="105">
        <f>_xlfn.LET(
_xlpm.data,'Base Stations Profiles'!$B:$E,
_xlpm.colSite,INDEX(_xlpm.data,,1),
_xlpm.colData,INDEX(_xlpm.data,,2),
_xlpm.rowRegion,MATCH(B172,_xlpm.colSite,0),
_xlpm.rowUser,MATCH("Maximum Simultaneously Active Users per Site",_xlfn.DROP(_xlpm.colSite,_xlpm.rowRegion),0),
INDEX(_xlpm.colData,_xlpm.rowRegion+_xlpm.rowUser))</f>
        <v>1500</v>
      </c>
      <c r="I172" s="124">
        <f>_xlfn.LET(
    _xlpm.data, 'Base Stations Profiles'!$B:$F,
    _xlpm.colSite, INDEX(_xlpm.data,,1),
    _xlpm.colauto, INDEX(_xlpm.data,,3),
    _xlpm.colData, INDEX(_xlpm.data,,2),
    _xlpm.rowRegion, MATCH(B172, _xlpm.colSite, 0),
    _xlpm.rowThroughput, MATCH("Maximum Throughput for Downlink per Site", _xlfn.DROP(_xlpm.colSite, _xlpm.rowRegion), 0),
    IF(INDEX(_xlpm.colauto, _xlpm.rowRegion + _xlpm.rowThroughput)='Model Configurator Sup'!$M$4,VLOOKUP(B172,'Base Stations Parameters'!$B:$E,4,0),INDEX(_xlpm.colData, _xlpm.rowRegion + _xlpm.rowThroughput))
)</f>
        <v>2000</v>
      </c>
      <c r="J172" s="106">
        <f ca="1">IF($G172&lt;=0,0,E172/(H172*$G172))</f>
        <v>0.1829922480620155</v>
      </c>
      <c r="K172" s="106">
        <f ca="1">IF($G172&lt;=0,0,F172/(I172*$G172))</f>
        <v>4.1480649641463516E-2</v>
      </c>
      <c r="L172" s="130">
        <f>VLOOKUP(B172,'Base Stations Parameters'!$B:$D,3,0)</f>
        <v>80000</v>
      </c>
      <c r="M172">
        <f ca="1">ROUNDUP(MAX(E172/H172-G172,F172/I172-G172,0),0)</f>
        <v>0</v>
      </c>
      <c r="N172" s="130">
        <f ca="1">M172*L172</f>
        <v>0</v>
      </c>
      <c r="Q172" s="69" t="s">
        <v>172</v>
      </c>
      <c r="S172" s="125">
        <v>0.05</v>
      </c>
      <c r="T172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)*S172,0)</f>
        <v>14176</v>
      </c>
      <c r="U172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)*S172</f>
        <v>3891.6848688908817</v>
      </c>
      <c r="V172" s="105">
        <f>INDEX('Sites per Region'!$A:$AO, MATCH(Q172,'Sites per Region'!$B:$B,0), MATCH(R$161,'Sites per Region'!$8:$8, 0))</f>
        <v>43</v>
      </c>
      <c r="W172" s="105">
        <f>_xlfn.LET(
_xlpm.data,'Base Stations Profiles'!$B:$T,
_xlpm.colSite,INDEX(_xlpm.data,,1),
_xlpm.colData,INDEX(_xlpm.data,,2),
_xlpm.rowRegion,MATCH(Q172,_xlpm.colSite,0),
_xlpm.rowUser,MATCH("Maximum Simultaneously Active Users per Site",_xlfn.DROP(_xlpm.colSite,_xlpm.rowRegion),0),
INDEX(_xlpm.colData,_xlpm.rowRegion+_xlpm.rowUser))</f>
        <v>1500</v>
      </c>
      <c r="X172" s="124">
        <f>_xlfn.LET(
    _xlpm.data, 'Base Stations Profiles'!$B:$U,
    _xlpm.colSite, INDEX(_xlpm.data,,1),
    _xlpm.colauto, INDEX(_xlpm.data,,3),
    _xlpm.colData, INDEX(_xlpm.data,,2),
    _xlpm.rowRegion, MATCH(Q172, _xlpm.colSite, 0),
    _xlpm.rowThroughput, MATCH("Maximum Throughput for Downlink per Site", _xlfn.DROP(_xlpm.colSite, _xlpm.rowRegion), 0),
    IF(INDEX(_xlpm.colauto, _xlpm.rowRegion + _xlpm.rowThroughput)='Model Configurator Sup'!$M$4,VLOOKUP(Q172,'Base Stations Parameters'!$B:$T,4,0),INDEX(_xlpm.colData, _xlpm.rowRegion + _xlpm.rowThroughput))
)</f>
        <v>2000</v>
      </c>
      <c r="Y172" s="106">
        <f ca="1">IF($V172&lt;=0,0,T172/(W172*$V172))</f>
        <v>0.21978294573643412</v>
      </c>
      <c r="Z172" s="106">
        <f ca="1">IF($V172&lt;=0,0,U172/(X172*$V172))</f>
        <v>4.5252149638266063E-2</v>
      </c>
      <c r="AA172" s="130">
        <f>VLOOKUP(Q172,'Base Stations Parameters'!$B:$S,3,0)</f>
        <v>80000</v>
      </c>
      <c r="AB172">
        <f ca="1">ROUNDUP(MAX(T172/W172-V172,U172/X172-V172,0),0)</f>
        <v>0</v>
      </c>
      <c r="AC172" s="130">
        <f ca="1">AB172*AA172</f>
        <v>0</v>
      </c>
      <c r="AF172" s="69" t="s">
        <v>172</v>
      </c>
      <c r="AH172" s="125">
        <v>0.05</v>
      </c>
      <c r="AI172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)*AH172,0)</f>
        <v>23979</v>
      </c>
      <c r="AJ172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)*AH172</f>
        <v>5093.7070006906461</v>
      </c>
      <c r="AK172" s="105">
        <f>INDEX('Sites per Region'!$A:$BD, MATCH(AF172,'Sites per Region'!$B:$B,0), MATCH(AG$161,'Sites per Region'!$8:$8, 0))</f>
        <v>43</v>
      </c>
      <c r="AL172" s="105">
        <f>_xlfn.LET(
_xlpm.data,'Base Stations Profiles'!$B:$AI,
_xlpm.colSite,INDEX(_xlpm.data,,1),
_xlpm.colData,INDEX(_xlpm.data,,2),
_xlpm.rowRegion,MATCH(AF172,_xlpm.colSite,0),
_xlpm.rowUser,MATCH("Maximum Simultaneously Active Users per Site",_xlfn.DROP(_xlpm.colSite,_xlpm.rowRegion),0),
INDEX(_xlpm.colData,_xlpm.rowRegion+_xlpm.rowUser))</f>
        <v>1500</v>
      </c>
      <c r="AM172" s="124">
        <f>_xlfn.LET(
    _xlpm.data, 'Base Stations Profiles'!$B:$AJ,
    _xlpm.colSite, INDEX(_xlpm.data,,1),
    _xlpm.colauto, INDEX(_xlpm.data,,3),
    _xlpm.colData, INDEX(_xlpm.data,,2),
    _xlpm.rowRegion, MATCH(AF172, _xlpm.colSite, 0),
    _xlpm.rowThroughput, MATCH("Maximum Throughput for Downlink per Site", _xlfn.DROP(_xlpm.colSite, _xlpm.rowRegion), 0),
    IF(INDEX(_xlpm.colauto, _xlpm.rowRegion + _xlpm.rowThroughput)='Model Configurator Sup'!$M$4,VLOOKUP(AF172,'Base Stations Parameters'!$B:$AI,4,0),INDEX(_xlpm.colData, _xlpm.rowRegion + _xlpm.rowThroughput))
)</f>
        <v>2000</v>
      </c>
      <c r="AN172" s="106">
        <f ca="1">IF($AK172&lt;=0,0,AI172/(AL172*$AK172))</f>
        <v>0.37176744186046512</v>
      </c>
      <c r="AO172" s="106">
        <f ca="1">IF($AK172&lt;=0,0,AJ172/(AM172*$AK172))</f>
        <v>5.9229151170821469E-2</v>
      </c>
      <c r="AP172" s="130">
        <f>VLOOKUP(AF172,'Base Stations Parameters'!$B:$AH,3,0)</f>
        <v>80000</v>
      </c>
      <c r="AQ172">
        <f ca="1">ROUNDUP(MAX(AI172/AL172-AK172,AJ172/AM172-AK172,0),0)</f>
        <v>0</v>
      </c>
      <c r="AR172" s="130">
        <f ca="1">AQ172*AP172</f>
        <v>0</v>
      </c>
    </row>
    <row r="173" spans="2:44" ht="15.75" customHeight="1" thickBot="1" x14ac:dyDescent="0.3">
      <c r="B173" s="69" t="s">
        <v>249</v>
      </c>
      <c r="D173" s="125">
        <v>0.05</v>
      </c>
      <c r="E173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)*D173,0)</f>
        <v>11803</v>
      </c>
      <c r="F173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)*D173</f>
        <v>3567.3358691658623</v>
      </c>
      <c r="G173" s="105">
        <f>INDEX('Sites per Region'!$A:$Z, MATCH(B173,'Sites per Region'!$B:$B,0), MATCH(C$161,'Sites per Region'!$8:$8, 0))</f>
        <v>26.5</v>
      </c>
      <c r="H173" s="105">
        <f>_xlfn.LET(
_xlpm.data,'Base Stations Profiles'!$B:$E,
_xlpm.colSite,INDEX(_xlpm.data,,1),
_xlpm.colData,INDEX(_xlpm.data,,2),
_xlpm.rowRegion,MATCH(B173,_xlpm.colSite,0),
_xlpm.rowUser,MATCH("Maximum Simultaneously Active Users per Site",_xlfn.DROP(_xlpm.colSite,_xlpm.rowRegion),0),
INDEX(_xlpm.colData,_xlpm.rowRegion+_xlpm.rowUser))</f>
        <v>800</v>
      </c>
      <c r="I173" s="124">
        <f>_xlfn.LET(
    _xlpm.data, 'Base Stations Profiles'!$B:$F,
    _xlpm.colSite, INDEX(_xlpm.data,,1),
    _xlpm.colauto, INDEX(_xlpm.data,,3),
    _xlpm.colData, INDEX(_xlpm.data,,2),
    _xlpm.rowRegion, MATCH(B173, _xlpm.colSite, 0),
    _xlpm.rowThroughput, MATCH("Maximum Throughput for Downlink per Site", _xlfn.DROP(_xlpm.colSite, _xlpm.rowRegion), 0),
    IF(INDEX(_xlpm.colauto, _xlpm.rowRegion + _xlpm.rowThroughput)='Model Configurator Sup'!$M$4,VLOOKUP(B173,'Base Stations Parameters'!$B:$E,4,0),INDEX(_xlpm.colData, _xlpm.rowRegion + _xlpm.rowThroughput))
)</f>
        <v>1200</v>
      </c>
      <c r="J173" s="106">
        <f ca="1">IF($G173&lt;=0,0,E173/(H173*$G173))</f>
        <v>0.55674528301886794</v>
      </c>
      <c r="K173" s="106">
        <f ca="1">IF($G173&lt;=0,0,F173/(I173*$G173))</f>
        <v>0.1121803732442095</v>
      </c>
      <c r="L173" s="130">
        <f>VLOOKUP(B173,'Base Stations Parameters'!$B:$D,3,0)</f>
        <v>80000</v>
      </c>
      <c r="M173">
        <f ca="1">ROUNDUP(MAX(E173/H173-G173,F173/I173-G173,0),0)</f>
        <v>0</v>
      </c>
      <c r="N173" s="130">
        <f ca="1">M173*L173</f>
        <v>0</v>
      </c>
      <c r="Q173" s="69" t="s">
        <v>249</v>
      </c>
      <c r="S173" s="125">
        <v>0.05</v>
      </c>
      <c r="T173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)*S173,0)</f>
        <v>14176</v>
      </c>
      <c r="U173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)*S173</f>
        <v>3891.6848688908817</v>
      </c>
      <c r="V173" s="105">
        <f>INDEX('Sites per Region'!$A:$AO, MATCH(Q173,'Sites per Region'!$B:$B,0), MATCH(R$161,'Sites per Region'!$8:$8, 0))</f>
        <v>26.5</v>
      </c>
      <c r="W173" s="105">
        <f>_xlfn.LET(
_xlpm.data,'Base Stations Profiles'!$B:$T,
_xlpm.colSite,INDEX(_xlpm.data,,1),
_xlpm.colData,INDEX(_xlpm.data,,2),
_xlpm.rowRegion,MATCH(Q173,_xlpm.colSite,0),
_xlpm.rowUser,MATCH("Maximum Simultaneously Active Users per Site",_xlfn.DROP(_xlpm.colSite,_xlpm.rowRegion),0),
INDEX(_xlpm.colData,_xlpm.rowRegion+_xlpm.rowUser))</f>
        <v>800</v>
      </c>
      <c r="X173" s="124">
        <f>_xlfn.LET(
    _xlpm.data, 'Base Stations Profiles'!$B:$U,
    _xlpm.colSite, INDEX(_xlpm.data,,1),
    _xlpm.colauto, INDEX(_xlpm.data,,3),
    _xlpm.colData, INDEX(_xlpm.data,,2),
    _xlpm.rowRegion, MATCH(Q173, _xlpm.colSite, 0),
    _xlpm.rowThroughput, MATCH("Maximum Throughput for Downlink per Site", _xlfn.DROP(_xlpm.colSite, _xlpm.rowRegion), 0),
    IF(INDEX(_xlpm.colauto, _xlpm.rowRegion + _xlpm.rowThroughput)='Model Configurator Sup'!$M$4,VLOOKUP(Q173,'Base Stations Parameters'!$B:$T,4,0),INDEX(_xlpm.colData, _xlpm.rowRegion + _xlpm.rowThroughput))
)</f>
        <v>1200</v>
      </c>
      <c r="Y173" s="106">
        <f ca="1">IF($V173&lt;=0,0,T173/(W173*$V173))</f>
        <v>0.66867924528301892</v>
      </c>
      <c r="Z173" s="106">
        <f ca="1">IF($V173&lt;=0,0,U173/(X173*$V173))</f>
        <v>0.12238002732361264</v>
      </c>
      <c r="AA173" s="130">
        <f>VLOOKUP(Q173,'Base Stations Parameters'!$B:$S,3,0)</f>
        <v>80000</v>
      </c>
      <c r="AB173">
        <f ca="1">ROUNDUP(MAX(T173/W173-V173,U173/X173-V173,0),0)</f>
        <v>0</v>
      </c>
      <c r="AC173" s="130">
        <f ca="1">AB173*AA173</f>
        <v>0</v>
      </c>
      <c r="AF173" s="69" t="s">
        <v>249</v>
      </c>
      <c r="AH173" s="125">
        <v>0.05</v>
      </c>
      <c r="AI173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)*AH173,0)</f>
        <v>23979</v>
      </c>
      <c r="AJ173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)*AH173</f>
        <v>5093.7070006906461</v>
      </c>
      <c r="AK173" s="105">
        <f>INDEX('Sites per Region'!$A:$BD, MATCH(AF173,'Sites per Region'!$B:$B,0), MATCH(AG$161,'Sites per Region'!$8:$8, 0))</f>
        <v>26.5</v>
      </c>
      <c r="AL173" s="105">
        <f>_xlfn.LET(
_xlpm.data,'Base Stations Profiles'!$B:$AI,
_xlpm.colSite,INDEX(_xlpm.data,,1),
_xlpm.colData,INDEX(_xlpm.data,,2),
_xlpm.rowRegion,MATCH(AF173,_xlpm.colSite,0),
_xlpm.rowUser,MATCH("Maximum Simultaneously Active Users per Site",_xlfn.DROP(_xlpm.colSite,_xlpm.rowRegion),0),
INDEX(_xlpm.colData,_xlpm.rowRegion+_xlpm.rowUser))</f>
        <v>800</v>
      </c>
      <c r="AM173" s="124">
        <f>_xlfn.LET(
    _xlpm.data, 'Base Stations Profiles'!$B:$AJ,
    _xlpm.colSite, INDEX(_xlpm.data,,1),
    _xlpm.colauto, INDEX(_xlpm.data,,3),
    _xlpm.colData, INDEX(_xlpm.data,,2),
    _xlpm.rowRegion, MATCH(AF173, _xlpm.colSite, 0),
    _xlpm.rowThroughput, MATCH("Maximum Throughput for Downlink per Site", _xlfn.DROP(_xlpm.colSite, _xlpm.rowRegion), 0),
    IF(INDEX(_xlpm.colauto, _xlpm.rowRegion + _xlpm.rowThroughput)='Model Configurator Sup'!$M$4,VLOOKUP(AF173,'Base Stations Parameters'!$B:$AI,4,0),INDEX(_xlpm.colData, _xlpm.rowRegion + _xlpm.rowThroughput))
)</f>
        <v>1200</v>
      </c>
      <c r="AN173" s="106">
        <f ca="1">IF($AK173&lt;=0,0,AI173/(AL173*$AK173))</f>
        <v>1.1310849056603773</v>
      </c>
      <c r="AO173" s="106">
        <f ca="1">IF($AK173&lt;=0,0,AJ173/(AM173*$AK173))</f>
        <v>0.16017946543052347</v>
      </c>
      <c r="AP173" s="130">
        <f>VLOOKUP(AF173,'Base Stations Parameters'!$B:$AH,3,0)</f>
        <v>80000</v>
      </c>
      <c r="AQ173">
        <f ca="1">ROUNDUP(MAX(AI173/AL173-AK173,AJ173/AM173-AK173,0),0)</f>
        <v>4</v>
      </c>
      <c r="AR173" s="130">
        <f ca="1">AQ173*AP173</f>
        <v>320000</v>
      </c>
    </row>
    <row r="174" spans="2:44" ht="15.75" customHeight="1" thickBot="1" x14ac:dyDescent="0.3">
      <c r="B174" s="69" t="s">
        <v>173</v>
      </c>
      <c r="D174" s="125">
        <v>0.05</v>
      </c>
      <c r="E174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)*D174,0)</f>
        <v>11803</v>
      </c>
      <c r="F174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)*D174</f>
        <v>3567.3358691658623</v>
      </c>
      <c r="G174" s="105">
        <f>INDEX('Sites per Region'!$A:$Z, MATCH(B174,'Sites per Region'!$B:$B,0), MATCH(C$161,'Sites per Region'!$8:$8, 0))</f>
        <v>26.5</v>
      </c>
      <c r="H174" s="105">
        <f>_xlfn.LET(
_xlpm.data,'Base Stations Profiles'!$B:$E,
_xlpm.colSite,INDEX(_xlpm.data,,1),
_xlpm.colData,INDEX(_xlpm.data,,2),
_xlpm.rowRegion,MATCH(B174,_xlpm.colSite,0),
_xlpm.rowUser,MATCH("Maximum Simultaneously Active Users per Site",_xlfn.DROP(_xlpm.colSite,_xlpm.rowRegion),0),
INDEX(_xlpm.colData,_xlpm.rowRegion+_xlpm.rowUser))</f>
        <v>800</v>
      </c>
      <c r="I174" s="124">
        <f>_xlfn.LET(
    _xlpm.data, 'Base Stations Profiles'!$B:$F,
    _xlpm.colSite, INDEX(_xlpm.data,,1),
    _xlpm.colauto, INDEX(_xlpm.data,,3),
    _xlpm.colData, INDEX(_xlpm.data,,2),
    _xlpm.rowRegion, MATCH(B174, _xlpm.colSite, 0),
    _xlpm.rowThroughput, MATCH("Maximum Throughput for Downlink per Site", _xlfn.DROP(_xlpm.colSite, _xlpm.rowRegion), 0),
    IF(INDEX(_xlpm.colauto, _xlpm.rowRegion + _xlpm.rowThroughput)='Model Configurator Sup'!$M$4,VLOOKUP(B174,'Base Stations Parameters'!$B:$E,4,0),INDEX(_xlpm.colData, _xlpm.rowRegion + _xlpm.rowThroughput))
)</f>
        <v>1200</v>
      </c>
      <c r="J174" s="106">
        <f ca="1">IF($G174&lt;=0,0,E174/(H174*$G174))</f>
        <v>0.55674528301886794</v>
      </c>
      <c r="K174" s="106">
        <f ca="1">IF($G174&lt;=0,0,F174/(I174*$G174))</f>
        <v>0.1121803732442095</v>
      </c>
      <c r="L174" s="130">
        <f>VLOOKUP(B174,'Base Stations Parameters'!$B:$D,3,0)</f>
        <v>60000</v>
      </c>
      <c r="M174">
        <f ca="1">ROUNDUP(MAX(E174/H174-G174,F174/I174-G174,0),0)</f>
        <v>0</v>
      </c>
      <c r="N174" s="130">
        <f ca="1">M174*L174</f>
        <v>0</v>
      </c>
      <c r="Q174" s="69" t="s">
        <v>173</v>
      </c>
      <c r="S174" s="125">
        <v>0.05</v>
      </c>
      <c r="T174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)*S174,0)</f>
        <v>14176</v>
      </c>
      <c r="U174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)*S174</f>
        <v>3891.6848688908817</v>
      </c>
      <c r="V174" s="105">
        <f>INDEX('Sites per Region'!$A:$AO, MATCH(Q174,'Sites per Region'!$B:$B,0), MATCH(R$161,'Sites per Region'!$8:$8, 0))</f>
        <v>26.5</v>
      </c>
      <c r="W174" s="105">
        <f>_xlfn.LET(
_xlpm.data,'Base Stations Profiles'!$B:$T,
_xlpm.colSite,INDEX(_xlpm.data,,1),
_xlpm.colData,INDEX(_xlpm.data,,2),
_xlpm.rowRegion,MATCH(Q174,_xlpm.colSite,0),
_xlpm.rowUser,MATCH("Maximum Simultaneously Active Users per Site",_xlfn.DROP(_xlpm.colSite,_xlpm.rowRegion),0),
INDEX(_xlpm.colData,_xlpm.rowRegion+_xlpm.rowUser))</f>
        <v>800</v>
      </c>
      <c r="X174" s="124">
        <f>_xlfn.LET(
    _xlpm.data, 'Base Stations Profiles'!$B:$U,
    _xlpm.colSite, INDEX(_xlpm.data,,1),
    _xlpm.colauto, INDEX(_xlpm.data,,3),
    _xlpm.colData, INDEX(_xlpm.data,,2),
    _xlpm.rowRegion, MATCH(Q174, _xlpm.colSite, 0),
    _xlpm.rowThroughput, MATCH("Maximum Throughput for Downlink per Site", _xlfn.DROP(_xlpm.colSite, _xlpm.rowRegion), 0),
    IF(INDEX(_xlpm.colauto, _xlpm.rowRegion + _xlpm.rowThroughput)='Model Configurator Sup'!$M$4,VLOOKUP(Q174,'Base Stations Parameters'!$B:$T,4,0),INDEX(_xlpm.colData, _xlpm.rowRegion + _xlpm.rowThroughput))
)</f>
        <v>1200</v>
      </c>
      <c r="Y174" s="106">
        <f ca="1">IF($V174&lt;=0,0,T174/(W174*$V174))</f>
        <v>0.66867924528301892</v>
      </c>
      <c r="Z174" s="106">
        <f ca="1">IF($V174&lt;=0,0,U174/(X174*$V174))</f>
        <v>0.12238002732361264</v>
      </c>
      <c r="AA174" s="130">
        <f>VLOOKUP(Q174,'Base Stations Parameters'!$B:$S,3,0)</f>
        <v>60000</v>
      </c>
      <c r="AB174">
        <f ca="1">ROUNDUP(MAX(T174/W174-V174,U174/X174-V174,0),0)</f>
        <v>0</v>
      </c>
      <c r="AC174" s="130">
        <f ca="1">AB174*AA174</f>
        <v>0</v>
      </c>
      <c r="AF174" s="69" t="s">
        <v>173</v>
      </c>
      <c r="AH174" s="125">
        <v>0.05</v>
      </c>
      <c r="AI174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)*AH174,0)</f>
        <v>23979</v>
      </c>
      <c r="AJ174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)*AH174</f>
        <v>5093.7070006906461</v>
      </c>
      <c r="AK174" s="105">
        <f>INDEX('Sites per Region'!$A:$BD, MATCH(AF174,'Sites per Region'!$B:$B,0), MATCH(AG$161,'Sites per Region'!$8:$8, 0))</f>
        <v>26.5</v>
      </c>
      <c r="AL174" s="105">
        <f>_xlfn.LET(
_xlpm.data,'Base Stations Profiles'!$B:$AI,
_xlpm.colSite,INDEX(_xlpm.data,,1),
_xlpm.colData,INDEX(_xlpm.data,,2),
_xlpm.rowRegion,MATCH(AF174,_xlpm.colSite,0),
_xlpm.rowUser,MATCH("Maximum Simultaneously Active Users per Site",_xlfn.DROP(_xlpm.colSite,_xlpm.rowRegion),0),
INDEX(_xlpm.colData,_xlpm.rowRegion+_xlpm.rowUser))</f>
        <v>800</v>
      </c>
      <c r="AM174" s="124">
        <f>_xlfn.LET(
    _xlpm.data, 'Base Stations Profiles'!$B:$AJ,
    _xlpm.colSite, INDEX(_xlpm.data,,1),
    _xlpm.colauto, INDEX(_xlpm.data,,3),
    _xlpm.colData, INDEX(_xlpm.data,,2),
    _xlpm.rowRegion, MATCH(AF174, _xlpm.colSite, 0),
    _xlpm.rowThroughput, MATCH("Maximum Throughput for Downlink per Site", _xlfn.DROP(_xlpm.colSite, _xlpm.rowRegion), 0),
    IF(INDEX(_xlpm.colauto, _xlpm.rowRegion + _xlpm.rowThroughput)='Model Configurator Sup'!$M$4,VLOOKUP(AF174,'Base Stations Parameters'!$B:$AI,4,0),INDEX(_xlpm.colData, _xlpm.rowRegion + _xlpm.rowThroughput))
)</f>
        <v>1200</v>
      </c>
      <c r="AN174" s="106">
        <f ca="1">IF($AK174&lt;=0,0,AI174/(AL174*$AK174))</f>
        <v>1.1310849056603773</v>
      </c>
      <c r="AO174" s="106">
        <f ca="1">IF($AK174&lt;=0,0,AJ174/(AM174*$AK174))</f>
        <v>0.16017946543052347</v>
      </c>
      <c r="AP174" s="130">
        <f>VLOOKUP(AF174,'Base Stations Parameters'!$B:$AH,3,0)</f>
        <v>60000</v>
      </c>
      <c r="AQ174">
        <f ca="1">ROUNDUP(MAX(AI174/AL174-AK174,AJ174/AM174-AK174,0),0)</f>
        <v>4</v>
      </c>
      <c r="AR174" s="130">
        <f ca="1">AQ174*AP174</f>
        <v>240000</v>
      </c>
    </row>
    <row r="175" spans="2:44" ht="15.75" customHeight="1" thickBot="1" x14ac:dyDescent="0.3">
      <c r="B175" s="69" t="s">
        <v>250</v>
      </c>
      <c r="D175" s="125">
        <v>2.5000000000000001E-2</v>
      </c>
      <c r="E175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)*D175,0)</f>
        <v>5901</v>
      </c>
      <c r="F175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)*D175</f>
        <v>1783.6679345829311</v>
      </c>
      <c r="G175" s="105">
        <f>INDEX('Sites per Region'!$A:$Z, MATCH(B175,'Sites per Region'!$B:$B,0), MATCH(C$161,'Sites per Region'!$8:$8, 0))</f>
        <v>44</v>
      </c>
      <c r="H175" s="105">
        <f>_xlfn.LET(
_xlpm.data,'Base Stations Profiles'!$B:$E,
_xlpm.colSite,INDEX(_xlpm.data,,1),
_xlpm.colData,INDEX(_xlpm.data,,2),
_xlpm.rowRegion,MATCH(B175,_xlpm.colSite,0),
_xlpm.rowUser,MATCH("Maximum Simultaneously Active Users per Site",_xlfn.DROP(_xlpm.colSite,_xlpm.rowRegion),0),
INDEX(_xlpm.colData,_xlpm.rowRegion+_xlpm.rowUser))</f>
        <v>400</v>
      </c>
      <c r="I175" s="124">
        <f>_xlfn.LET(
    _xlpm.data, 'Base Stations Profiles'!$B:$F,
    _xlpm.colSite, INDEX(_xlpm.data,,1),
    _xlpm.colauto, INDEX(_xlpm.data,,3),
    _xlpm.colData, INDEX(_xlpm.data,,2),
    _xlpm.rowRegion, MATCH(B175, _xlpm.colSite, 0),
    _xlpm.rowThroughput, MATCH("Maximum Throughput for Downlink per Site", _xlfn.DROP(_xlpm.colSite, _xlpm.rowRegion), 0),
    IF(INDEX(_xlpm.colauto, _xlpm.rowRegion + _xlpm.rowThroughput)='Model Configurator Sup'!$M$4,VLOOKUP(B175,'Base Stations Parameters'!$B:$E,4,0),INDEX(_xlpm.colData, _xlpm.rowRegion + _xlpm.rowThroughput))
)</f>
        <v>300</v>
      </c>
      <c r="J175" s="106">
        <f ca="1">IF($G175&lt;=0,0,E175/(H175*$G175))</f>
        <v>0.33528409090909089</v>
      </c>
      <c r="K175" s="106">
        <f ca="1">IF($G175&lt;=0,0,F175/(I175*$G175))</f>
        <v>0.13512635868052508</v>
      </c>
      <c r="L175" s="130">
        <f>VLOOKUP(B175,'Base Stations Parameters'!$B:$D,3,0)</f>
        <v>60000</v>
      </c>
      <c r="M175">
        <f ca="1">ROUNDUP(MAX(E175/H175-G175,F175/I175-G175,0),0)</f>
        <v>0</v>
      </c>
      <c r="N175" s="130">
        <f ca="1">M175*L175</f>
        <v>0</v>
      </c>
      <c r="Q175" s="69" t="s">
        <v>250</v>
      </c>
      <c r="S175" s="125">
        <v>2.5000000000000001E-2</v>
      </c>
      <c r="T175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)*S175,0)</f>
        <v>7088</v>
      </c>
      <c r="U175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)*S175</f>
        <v>1945.8424344454409</v>
      </c>
      <c r="V175" s="105">
        <f>INDEX('Sites per Region'!$A:$AO, MATCH(Q175,'Sites per Region'!$B:$B,0), MATCH(R$161,'Sites per Region'!$8:$8, 0))</f>
        <v>44</v>
      </c>
      <c r="W175" s="105">
        <f>_xlfn.LET(
_xlpm.data,'Base Stations Profiles'!$B:$T,
_xlpm.colSite,INDEX(_xlpm.data,,1),
_xlpm.colData,INDEX(_xlpm.data,,2),
_xlpm.rowRegion,MATCH(Q175,_xlpm.colSite,0),
_xlpm.rowUser,MATCH("Maximum Simultaneously Active Users per Site",_xlfn.DROP(_xlpm.colSite,_xlpm.rowRegion),0),
INDEX(_xlpm.colData,_xlpm.rowRegion+_xlpm.rowUser))</f>
        <v>400</v>
      </c>
      <c r="X175" s="124">
        <f>_xlfn.LET(
    _xlpm.data, 'Base Stations Profiles'!$B:$U,
    _xlpm.colSite, INDEX(_xlpm.data,,1),
    _xlpm.colauto, INDEX(_xlpm.data,,3),
    _xlpm.colData, INDEX(_xlpm.data,,2),
    _xlpm.rowRegion, MATCH(Q175, _xlpm.colSite, 0),
    _xlpm.rowThroughput, MATCH("Maximum Throughput for Downlink per Site", _xlfn.DROP(_xlpm.colSite, _xlpm.rowRegion), 0),
    IF(INDEX(_xlpm.colauto, _xlpm.rowRegion + _xlpm.rowThroughput)='Model Configurator Sup'!$M$4,VLOOKUP(Q175,'Base Stations Parameters'!$B:$T,4,0),INDEX(_xlpm.colData, _xlpm.rowRegion + _xlpm.rowThroughput))
)</f>
        <v>300</v>
      </c>
      <c r="Y175" s="106">
        <f ca="1">IF($V175&lt;=0,0,T175/(W175*$V175))</f>
        <v>0.40272727272727271</v>
      </c>
      <c r="Z175" s="106">
        <f ca="1">IF($V175&lt;=0,0,U175/(X175*$V175))</f>
        <v>0.14741230563980612</v>
      </c>
      <c r="AA175" s="130">
        <f>VLOOKUP(Q175,'Base Stations Parameters'!$B:$S,3,0)</f>
        <v>60000</v>
      </c>
      <c r="AB175">
        <f ca="1">ROUNDUP(MAX(T175/W175-V175,U175/X175-V175,0),0)</f>
        <v>0</v>
      </c>
      <c r="AC175" s="130">
        <f ca="1">AB175*AA175</f>
        <v>0</v>
      </c>
      <c r="AF175" s="69" t="s">
        <v>250</v>
      </c>
      <c r="AH175" s="125">
        <v>2.5000000000000001E-2</v>
      </c>
      <c r="AI175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)*AH175,0)</f>
        <v>11989</v>
      </c>
      <c r="AJ175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)*AH175</f>
        <v>2546.853500345323</v>
      </c>
      <c r="AK175" s="105">
        <f>INDEX('Sites per Region'!$A:$BD, MATCH(AF175,'Sites per Region'!$B:$B,0), MATCH(AG$161,'Sites per Region'!$8:$8, 0))</f>
        <v>44</v>
      </c>
      <c r="AL175" s="105">
        <f>_xlfn.LET(
_xlpm.data,'Base Stations Profiles'!$B:$AI,
_xlpm.colSite,INDEX(_xlpm.data,,1),
_xlpm.colData,INDEX(_xlpm.data,,2),
_xlpm.rowRegion,MATCH(AF175,_xlpm.colSite,0),
_xlpm.rowUser,MATCH("Maximum Simultaneously Active Users per Site",_xlfn.DROP(_xlpm.colSite,_xlpm.rowRegion),0),
INDEX(_xlpm.colData,_xlpm.rowRegion+_xlpm.rowUser))</f>
        <v>400</v>
      </c>
      <c r="AM175" s="124">
        <f>_xlfn.LET(
    _xlpm.data, 'Base Stations Profiles'!$B:$AJ,
    _xlpm.colSite, INDEX(_xlpm.data,,1),
    _xlpm.colauto, INDEX(_xlpm.data,,3),
    _xlpm.colData, INDEX(_xlpm.data,,2),
    _xlpm.rowRegion, MATCH(AF175, _xlpm.colSite, 0),
    _xlpm.rowThroughput, MATCH("Maximum Throughput for Downlink per Site", _xlfn.DROP(_xlpm.colSite, _xlpm.rowRegion), 0),
    IF(INDEX(_xlpm.colauto, _xlpm.rowRegion + _xlpm.rowThroughput)='Model Configurator Sup'!$M$4,VLOOKUP(AF175,'Base Stations Parameters'!$B:$AI,4,0),INDEX(_xlpm.colData, _xlpm.rowRegion + _xlpm.rowThroughput))
)</f>
        <v>300</v>
      </c>
      <c r="AN175" s="106">
        <f ca="1">IF($AK175&lt;=0,0,AI175/(AL175*$AK175))</f>
        <v>0.68119318181818178</v>
      </c>
      <c r="AO175" s="106">
        <f ca="1">IF($AK175&lt;=0,0,AJ175/(AM175*$AK175))</f>
        <v>0.1929434469958578</v>
      </c>
      <c r="AP175" s="130">
        <f>VLOOKUP(AF175,'Base Stations Parameters'!$B:$AH,3,0)</f>
        <v>60000</v>
      </c>
      <c r="AQ175">
        <f ca="1">ROUNDUP(MAX(AI175/AL175-AK175,AJ175/AM175-AK175,0),0)</f>
        <v>0</v>
      </c>
      <c r="AR175" s="130">
        <f ca="1">AQ175*AP175</f>
        <v>0</v>
      </c>
    </row>
    <row r="176" spans="2:44" ht="15.75" customHeight="1" thickBot="1" x14ac:dyDescent="0.3">
      <c r="B176" s="69" t="s">
        <v>174</v>
      </c>
      <c r="D176" s="125">
        <v>2.5000000000000001E-2</v>
      </c>
      <c r="E176" s="123">
        <f ca="1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)*D176,0)</f>
        <v>5901</v>
      </c>
      <c r="F176" s="122">
        <f ca="1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)*D176</f>
        <v>1783.6679345829311</v>
      </c>
      <c r="G176" s="105">
        <f>INDEX('Sites per Region'!$A:$Z, MATCH(B176,'Sites per Region'!$B:$B,0), MATCH(C$161,'Sites per Region'!$8:$8, 0))</f>
        <v>44</v>
      </c>
      <c r="H176" s="105">
        <f>_xlfn.LET(
_xlpm.data,'Base Stations Profiles'!$B:$E,
_xlpm.colSite,INDEX(_xlpm.data,,1),
_xlpm.colData,INDEX(_xlpm.data,,2),
_xlpm.rowRegion,MATCH(B176,_xlpm.colSite,0),
_xlpm.rowUser,MATCH("Maximum Simultaneously Active Users per Site",_xlfn.DROP(_xlpm.colSite,_xlpm.rowRegion),0),
INDEX(_xlpm.colData,_xlpm.rowRegion+_xlpm.rowUser))</f>
        <v>400</v>
      </c>
      <c r="I176" s="124">
        <f>_xlfn.LET(
    _xlpm.data, 'Base Stations Profiles'!$B:$F,
    _xlpm.colSite, INDEX(_xlpm.data,,1),
    _xlpm.colauto, INDEX(_xlpm.data,,3),
    _xlpm.colData, INDEX(_xlpm.data,,2),
    _xlpm.rowRegion, MATCH(B176, _xlpm.colSite, 0),
    _xlpm.rowThroughput, MATCH("Maximum Throughput for Downlink per Site", _xlfn.DROP(_xlpm.colSite, _xlpm.rowRegion), 0),
    IF(INDEX(_xlpm.colauto, _xlpm.rowRegion + _xlpm.rowThroughput)='Model Configurator Sup'!$M$4,VLOOKUP(B176,'Base Stations Parameters'!$B:$E,4,0),INDEX(_xlpm.colData, _xlpm.rowRegion + _xlpm.rowThroughput))
)</f>
        <v>300</v>
      </c>
      <c r="J176" s="106">
        <f ca="1">IF($G176&lt;=0,0,E176/(H176*$G176))</f>
        <v>0.33528409090909089</v>
      </c>
      <c r="K176" s="106">
        <f ca="1">IF($G176&lt;=0,0,F176/(I176*$G176))</f>
        <v>0.13512635868052508</v>
      </c>
      <c r="L176" s="130">
        <f>VLOOKUP(B176,'Base Stations Parameters'!$B:$D,3,0)</f>
        <v>0</v>
      </c>
      <c r="M176">
        <f ca="1">ROUNDUP(MAX(E176/H176-G176,F176/I176-G176,0),0)</f>
        <v>0</v>
      </c>
      <c r="N176" s="130">
        <f ca="1">M176*L176</f>
        <v>0</v>
      </c>
      <c r="Q176" s="69" t="s">
        <v>174</v>
      </c>
      <c r="S176" s="125">
        <v>2.5000000000000001E-2</v>
      </c>
      <c r="T176" s="123">
        <f ca="1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)*S176,0)</f>
        <v>7088</v>
      </c>
      <c r="U176" s="122">
        <f ca="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)*S176</f>
        <v>1945.8424344454409</v>
      </c>
      <c r="V176" s="105">
        <f>INDEX('Sites per Region'!$A:$AO, MATCH(Q176,'Sites per Region'!$B:$B,0), MATCH(R$161,'Sites per Region'!$8:$8, 0))</f>
        <v>44</v>
      </c>
      <c r="W176" s="105">
        <f>_xlfn.LET(
_xlpm.data,'Base Stations Profiles'!$B:$T,
_xlpm.colSite,INDEX(_xlpm.data,,1),
_xlpm.colData,INDEX(_xlpm.data,,2),
_xlpm.rowRegion,MATCH(Q176,_xlpm.colSite,0),
_xlpm.rowUser,MATCH("Maximum Simultaneously Active Users per Site",_xlfn.DROP(_xlpm.colSite,_xlpm.rowRegion),0),
INDEX(_xlpm.colData,_xlpm.rowRegion+_xlpm.rowUser))</f>
        <v>400</v>
      </c>
      <c r="X176" s="124">
        <f>_xlfn.LET(
    _xlpm.data, 'Base Stations Profiles'!$B:$U,
    _xlpm.colSite, INDEX(_xlpm.data,,1),
    _xlpm.colauto, INDEX(_xlpm.data,,3),
    _xlpm.colData, INDEX(_xlpm.data,,2),
    _xlpm.rowRegion, MATCH(Q176, _xlpm.colSite, 0),
    _xlpm.rowThroughput, MATCH("Maximum Throughput for Downlink per Site", _xlfn.DROP(_xlpm.colSite, _xlpm.rowRegion), 0),
    IF(INDEX(_xlpm.colauto, _xlpm.rowRegion + _xlpm.rowThroughput)='Model Configurator Sup'!$M$4,VLOOKUP(Q176,'Base Stations Parameters'!$B:$T,4,0),INDEX(_xlpm.colData, _xlpm.rowRegion + _xlpm.rowThroughput))
)</f>
        <v>300</v>
      </c>
      <c r="Y176" s="106">
        <f ca="1">IF($V176&lt;=0,0,T176/(W176*$V176))</f>
        <v>0.40272727272727271</v>
      </c>
      <c r="Z176" s="106">
        <f ca="1">IF($V176&lt;=0,0,U176/(X176*$V176))</f>
        <v>0.14741230563980612</v>
      </c>
      <c r="AA176" s="130">
        <f>VLOOKUP(Q176,'Base Stations Parameters'!$B:$S,3,0)</f>
        <v>0</v>
      </c>
      <c r="AB176">
        <f ca="1">ROUNDUP(MAX(T176/W176-V176,U176/X176-V176,0),0)</f>
        <v>0</v>
      </c>
      <c r="AC176" s="130">
        <f ca="1">AB176*AA176</f>
        <v>0</v>
      </c>
      <c r="AF176" s="69" t="s">
        <v>174</v>
      </c>
      <c r="AH176" s="125">
        <v>2.5000000000000001E-2</v>
      </c>
      <c r="AI176" s="123">
        <f ca="1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)*AH176,0)</f>
        <v>11989</v>
      </c>
      <c r="AJ176" s="122">
        <f ca="1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)*AH176</f>
        <v>2546.853500345323</v>
      </c>
      <c r="AK176" s="105">
        <f>INDEX('Sites per Region'!$A:$BD, MATCH(AF176,'Sites per Region'!$B:$B,0), MATCH(AG$161,'Sites per Region'!$8:$8, 0))</f>
        <v>44</v>
      </c>
      <c r="AL176" s="105">
        <f>_xlfn.LET(
_xlpm.data,'Base Stations Profiles'!$B:$AI,
_xlpm.colSite,INDEX(_xlpm.data,,1),
_xlpm.colData,INDEX(_xlpm.data,,2),
_xlpm.rowRegion,MATCH(AF176,_xlpm.colSite,0),
_xlpm.rowUser,MATCH("Maximum Simultaneously Active Users per Site",_xlfn.DROP(_xlpm.colSite,_xlpm.rowRegion),0),
INDEX(_xlpm.colData,_xlpm.rowRegion+_xlpm.rowUser))</f>
        <v>400</v>
      </c>
      <c r="AM176" s="124">
        <f>_xlfn.LET(
    _xlpm.data, 'Base Stations Profiles'!$B:$AJ,
    _xlpm.colSite, INDEX(_xlpm.data,,1),
    _xlpm.colauto, INDEX(_xlpm.data,,3),
    _xlpm.colData, INDEX(_xlpm.data,,2),
    _xlpm.rowRegion, MATCH(AF176, _xlpm.colSite, 0),
    _xlpm.rowThroughput, MATCH("Maximum Throughput for Downlink per Site", _xlfn.DROP(_xlpm.colSite, _xlpm.rowRegion), 0),
    IF(INDEX(_xlpm.colauto, _xlpm.rowRegion + _xlpm.rowThroughput)='Model Configurator Sup'!$M$4,VLOOKUP(AF176,'Base Stations Parameters'!$B:$AI,4,0),INDEX(_xlpm.colData, _xlpm.rowRegion + _xlpm.rowThroughput))
)</f>
        <v>300</v>
      </c>
      <c r="AN176" s="106">
        <f ca="1">IF($AK176&lt;=0,0,AI176/(AL176*$AK176))</f>
        <v>0.68119318181818178</v>
      </c>
      <c r="AO176" s="106">
        <f ca="1">IF($AK176&lt;=0,0,AJ176/(AM176*$AK176))</f>
        <v>0.1929434469958578</v>
      </c>
      <c r="AP176" s="130">
        <f>VLOOKUP(AF176,'Base Stations Parameters'!$B:$AH,3,0)</f>
        <v>0</v>
      </c>
      <c r="AQ176">
        <f ca="1">ROUNDUP(MAX(AI176/AL176-AK176,AJ176/AM176-AK176,0),0)</f>
        <v>0</v>
      </c>
      <c r="AR176" s="130">
        <f ca="1">AQ176*AP176</f>
        <v>0</v>
      </c>
    </row>
    <row r="177" spans="2:44" ht="15" customHeight="1" x14ac:dyDescent="0.25">
      <c r="B177" s="116" t="s">
        <v>182</v>
      </c>
      <c r="D177" s="126">
        <f>SUM(D165:D176)</f>
        <v>1</v>
      </c>
      <c r="E177" s="127">
        <f ca="1">SUM(E165:E176)</f>
        <v>236064</v>
      </c>
      <c r="F177" s="128">
        <f ca="1">SUM(F165:F176)</f>
        <v>71346.717383317242</v>
      </c>
      <c r="H177" s="113"/>
      <c r="I177" s="115"/>
      <c r="L177" s="115"/>
      <c r="M177" s="129">
        <f ca="1">SUM(M165:M176)</f>
        <v>0</v>
      </c>
      <c r="N177" s="131">
        <f ca="1">SUM(N165:N176)</f>
        <v>0</v>
      </c>
      <c r="Q177" s="116" t="s">
        <v>182</v>
      </c>
      <c r="S177" s="126">
        <f>SUM(S165:S176)</f>
        <v>1</v>
      </c>
      <c r="T177" s="127">
        <f ca="1">SUM(T165:T176)</f>
        <v>283530</v>
      </c>
      <c r="U177" s="128">
        <f ca="1">SUM(U165:U176)</f>
        <v>77833.697377817618</v>
      </c>
      <c r="W177" s="113"/>
      <c r="X177" s="115"/>
      <c r="AA177" s="115"/>
      <c r="AB177" s="129">
        <f ca="1">SUM(AB165:AB176)</f>
        <v>6</v>
      </c>
      <c r="AC177" s="131">
        <f ca="1">SUM(AC165:AC176)</f>
        <v>735000</v>
      </c>
      <c r="AF177" s="116" t="s">
        <v>182</v>
      </c>
      <c r="AH177" s="126">
        <f>SUM(AH165:AH176)</f>
        <v>1</v>
      </c>
      <c r="AI177" s="127">
        <f ca="1">SUM(AI165:AI176)</f>
        <v>479584</v>
      </c>
      <c r="AJ177" s="128">
        <f ca="1">SUM(AJ165:AJ176)</f>
        <v>101874.14001381291</v>
      </c>
      <c r="AL177" s="113"/>
      <c r="AM177" s="115"/>
      <c r="AP177" s="115"/>
      <c r="AQ177" s="129">
        <f ca="1">SUM(AQ165:AQ176)</f>
        <v>84</v>
      </c>
      <c r="AR177" s="131">
        <f ca="1">SUM(AR165:AR176)</f>
        <v>9070000</v>
      </c>
    </row>
    <row r="179" spans="2:44" ht="15" customHeight="1" x14ac:dyDescent="0.25">
      <c r="C179">
        <v>2023</v>
      </c>
      <c r="R179">
        <v>2025</v>
      </c>
      <c r="AG179">
        <v>2030</v>
      </c>
    </row>
    <row r="180" spans="2:44" ht="19.5" customHeight="1" x14ac:dyDescent="0.25">
      <c r="C180" s="102" t="s">
        <v>19</v>
      </c>
      <c r="R180" s="102" t="s">
        <v>19</v>
      </c>
      <c r="AG180" s="102" t="s">
        <v>19</v>
      </c>
    </row>
    <row r="181" spans="2:44" ht="15" customHeight="1" thickBot="1" x14ac:dyDescent="0.3"/>
    <row r="182" spans="2:44" ht="15" customHeight="1" thickBot="1" x14ac:dyDescent="0.3">
      <c r="B182" s="138" t="s">
        <v>143</v>
      </c>
      <c r="C182" s="117"/>
      <c r="D182" s="152" t="s">
        <v>203</v>
      </c>
      <c r="E182" s="142" t="s">
        <v>218</v>
      </c>
      <c r="F182" s="144"/>
      <c r="G182" s="152" t="s">
        <v>215</v>
      </c>
      <c r="H182" s="142" t="s">
        <v>217</v>
      </c>
      <c r="I182" s="144"/>
      <c r="J182" s="142" t="s">
        <v>184</v>
      </c>
      <c r="K182" s="144"/>
      <c r="L182" s="142" t="s">
        <v>131</v>
      </c>
      <c r="M182" s="143"/>
      <c r="N182" s="144"/>
      <c r="Q182" s="138" t="s">
        <v>143</v>
      </c>
      <c r="R182" s="117"/>
      <c r="S182" s="152" t="s">
        <v>203</v>
      </c>
      <c r="T182" s="142" t="s">
        <v>218</v>
      </c>
      <c r="U182" s="144"/>
      <c r="V182" s="152" t="s">
        <v>215</v>
      </c>
      <c r="W182" s="142" t="s">
        <v>217</v>
      </c>
      <c r="X182" s="144"/>
      <c r="Y182" s="142" t="s">
        <v>184</v>
      </c>
      <c r="Z182" s="144"/>
      <c r="AA182" s="142" t="s">
        <v>131</v>
      </c>
      <c r="AB182" s="143"/>
      <c r="AC182" s="144"/>
      <c r="AF182" s="138" t="s">
        <v>143</v>
      </c>
      <c r="AG182" s="117"/>
      <c r="AH182" s="152" t="s">
        <v>203</v>
      </c>
      <c r="AI182" s="142" t="s">
        <v>218</v>
      </c>
      <c r="AJ182" s="144"/>
      <c r="AK182" s="152" t="s">
        <v>215</v>
      </c>
      <c r="AL182" s="142" t="s">
        <v>217</v>
      </c>
      <c r="AM182" s="144"/>
      <c r="AN182" s="142" t="s">
        <v>184</v>
      </c>
      <c r="AO182" s="144"/>
      <c r="AP182" s="142" t="s">
        <v>131</v>
      </c>
      <c r="AQ182" s="143"/>
      <c r="AR182" s="144"/>
    </row>
    <row r="183" spans="2:44" ht="30.75" customHeight="1" thickBot="1" x14ac:dyDescent="0.3">
      <c r="B183" s="139"/>
      <c r="C183" s="117"/>
      <c r="D183" s="153"/>
      <c r="E183" s="10" t="s">
        <v>185</v>
      </c>
      <c r="F183" s="10" t="s">
        <v>204</v>
      </c>
      <c r="G183" s="153"/>
      <c r="H183" s="10" t="s">
        <v>185</v>
      </c>
      <c r="I183" s="10" t="s">
        <v>204</v>
      </c>
      <c r="J183" s="10" t="s">
        <v>185</v>
      </c>
      <c r="K183" s="10" t="s">
        <v>204</v>
      </c>
      <c r="L183" s="10" t="s">
        <v>243</v>
      </c>
      <c r="M183" s="10" t="s">
        <v>195</v>
      </c>
      <c r="N183" s="10" t="s">
        <v>244</v>
      </c>
      <c r="Q183" s="139"/>
      <c r="R183" s="117"/>
      <c r="S183" s="153"/>
      <c r="T183" s="10" t="s">
        <v>185</v>
      </c>
      <c r="U183" s="10" t="s">
        <v>204</v>
      </c>
      <c r="V183" s="153"/>
      <c r="W183" s="10" t="s">
        <v>185</v>
      </c>
      <c r="X183" s="10" t="s">
        <v>204</v>
      </c>
      <c r="Y183" s="10" t="s">
        <v>185</v>
      </c>
      <c r="Z183" s="10" t="s">
        <v>204</v>
      </c>
      <c r="AA183" s="10" t="s">
        <v>243</v>
      </c>
      <c r="AB183" s="10" t="s">
        <v>195</v>
      </c>
      <c r="AC183" s="10" t="s">
        <v>244</v>
      </c>
      <c r="AF183" s="139"/>
      <c r="AG183" s="117"/>
      <c r="AH183" s="153"/>
      <c r="AI183" s="10" t="s">
        <v>185</v>
      </c>
      <c r="AJ183" s="10" t="s">
        <v>204</v>
      </c>
      <c r="AK183" s="153"/>
      <c r="AL183" s="10" t="s">
        <v>185</v>
      </c>
      <c r="AM183" s="10" t="s">
        <v>204</v>
      </c>
      <c r="AN183" s="10" t="s">
        <v>185</v>
      </c>
      <c r="AO183" s="10" t="s">
        <v>204</v>
      </c>
      <c r="AP183" s="10" t="s">
        <v>243</v>
      </c>
      <c r="AQ183" s="10" t="s">
        <v>195</v>
      </c>
      <c r="AR183" s="10" t="s">
        <v>244</v>
      </c>
    </row>
    <row r="184" spans="2:44" ht="15.75" customHeight="1" thickBot="1" x14ac:dyDescent="0.3">
      <c r="B184" s="69" t="s">
        <v>245</v>
      </c>
      <c r="D184" s="125">
        <v>0.15</v>
      </c>
      <c r="E184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)*D184,0)</f>
        <v>20226</v>
      </c>
      <c r="F184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)*D184</f>
        <v>6136.400233121195</v>
      </c>
      <c r="G184" s="105">
        <f>INDEX('Sites per Region'!$A:$Z, MATCH(B184,'Sites per Region'!$B:$B,0), MATCH(C$180,'Sites per Region'!$8:$8, 0))</f>
        <v>39.5</v>
      </c>
      <c r="H184" s="105">
        <f>_xlfn.LET(
_xlpm.data,'Base Stations Profiles'!$B:$E,
_xlpm.colSite,INDEX(_xlpm.data,,1),
_xlpm.colData,INDEX(_xlpm.data,,2),
_xlpm.rowRegion,MATCH(B184,_xlpm.colSite,0),
_xlpm.rowUser,MATCH("Maximum Simultaneously Active Users per Site",_xlfn.DROP(_xlpm.colSite,_xlpm.rowRegion),0),
INDEX(_xlpm.colData,_xlpm.rowRegion+_xlpm.rowUser))</f>
        <v>2500</v>
      </c>
      <c r="I184" s="124">
        <f>_xlfn.LET(
    _xlpm.data, 'Base Stations Profiles'!$B:$F,
    _xlpm.colSite, INDEX(_xlpm.data,,1),
    _xlpm.colauto, INDEX(_xlpm.data,,3),
    _xlpm.colData, INDEX(_xlpm.data,,2),
    _xlpm.rowRegion, MATCH(B184, _xlpm.colSite, 0),
    _xlpm.rowThroughput, MATCH("Maximum Throughput for Downlink per Site", _xlfn.DROP(_xlpm.colSite, _xlpm.rowRegion), 0),
    IF(INDEX(_xlpm.colauto, _xlpm.rowRegion + _xlpm.rowThroughput)='Model Configurator Sup'!$M$4,VLOOKUP(B184,'Base Stations Parameters'!$B:$E,4,0),INDEX(_xlpm.colData, _xlpm.rowRegion + _xlpm.rowThroughput))
)</f>
        <v>17000</v>
      </c>
      <c r="J184" s="106">
        <f ca="1">IF($G184&lt;=0,0,E184/(H184*$G184))</f>
        <v>0.20482025316455696</v>
      </c>
      <c r="K184" s="106">
        <f ca="1">IF($G184&lt;=0,0,F184/(I184*$G184))</f>
        <v>9.1383473315282127E-3</v>
      </c>
      <c r="L184" s="130">
        <f>VLOOKUP(B184,'Base Stations Parameters'!$B:$D,3,0)</f>
        <v>175000</v>
      </c>
      <c r="M184">
        <f ca="1">ROUNDUP(MAX(E184/H184-G184,F184/I184-G184,0),0)</f>
        <v>0</v>
      </c>
      <c r="N184" s="130">
        <f ca="1">M184*L184</f>
        <v>0</v>
      </c>
      <c r="Q184" s="69" t="s">
        <v>245</v>
      </c>
      <c r="S184" s="125">
        <v>0.15</v>
      </c>
      <c r="T184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)*S184,0)</f>
        <v>24297</v>
      </c>
      <c r="U184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)*S184</f>
        <v>2073.3001737749896</v>
      </c>
      <c r="V184" s="105">
        <f>INDEX('Sites per Region'!$A:$AO, MATCH(Q184,'Sites per Region'!$B:$B,0), MATCH(R$180,'Sites per Region'!$8:$8, 0))</f>
        <v>39.5</v>
      </c>
      <c r="W184" s="105">
        <f>_xlfn.LET(
_xlpm.data,'Base Stations Profiles'!$B:$T,
_xlpm.colSite,INDEX(_xlpm.data,,1),
_xlpm.colData,INDEX(_xlpm.data,,2),
_xlpm.rowRegion,MATCH(Q184,_xlpm.colSite,0),
_xlpm.rowUser,MATCH("Maximum Simultaneously Active Users per Site",_xlfn.DROP(_xlpm.colSite,_xlpm.rowRegion),0),
INDEX(_xlpm.colData,_xlpm.rowRegion+_xlpm.rowUser))</f>
        <v>2500</v>
      </c>
      <c r="X184" s="124">
        <f>_xlfn.LET(
    _xlpm.data, 'Base Stations Profiles'!$B:$U,
    _xlpm.colSite, INDEX(_xlpm.data,,1),
    _xlpm.colauto, INDEX(_xlpm.data,,3),
    _xlpm.colData, INDEX(_xlpm.data,,2),
    _xlpm.rowRegion, MATCH(Q184, _xlpm.colSite, 0),
    _xlpm.rowThroughput, MATCH("Maximum Throughput for Downlink per Site", _xlfn.DROP(_xlpm.colSite, _xlpm.rowRegion), 0),
    IF(INDEX(_xlpm.colauto, _xlpm.rowRegion + _xlpm.rowThroughput)='Model Configurator Sup'!$M$4,VLOOKUP(Q184,'Base Stations Parameters'!$B:$T,4,0),INDEX(_xlpm.colData, _xlpm.rowRegion + _xlpm.rowThroughput))
)</f>
        <v>17000</v>
      </c>
      <c r="Y184" s="106">
        <f ca="1">IF($V184&lt;=0,0,T184/(W184*$V184))</f>
        <v>0.24604556962025317</v>
      </c>
      <c r="Z184" s="106">
        <f ca="1">IF($V184&lt;=0,0,U184/(X184*$V184))</f>
        <v>3.0875654114296196E-3</v>
      </c>
      <c r="AA184" s="130">
        <f>VLOOKUP(Q184,'Base Stations Parameters'!$B:$S,3,0)</f>
        <v>175000</v>
      </c>
      <c r="AB184">
        <f ca="1">ROUNDUP(MAX(T184/W184-V184,U184/X184-V184,0),0)</f>
        <v>0</v>
      </c>
      <c r="AC184" s="130">
        <f ca="1">AB184*AA184</f>
        <v>0</v>
      </c>
      <c r="AF184" s="69" t="s">
        <v>245</v>
      </c>
      <c r="AH184" s="125">
        <v>0.15</v>
      </c>
      <c r="AI184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)*AH184,0)</f>
        <v>41112</v>
      </c>
      <c r="AJ184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)*AH184</f>
        <v>8811.1438466094969</v>
      </c>
      <c r="AK184" s="105">
        <f>INDEX('Sites per Region'!$A:$BD, MATCH(AF184,'Sites per Region'!$B:$B,0), MATCH(AG$180,'Sites per Region'!$8:$8, 0))</f>
        <v>39.5</v>
      </c>
      <c r="AL184" s="105">
        <f>_xlfn.LET(
_xlpm.data,'Base Stations Profiles'!$B:$AI,
_xlpm.colSite,INDEX(_xlpm.data,,1),
_xlpm.colData,INDEX(_xlpm.data,,2),
_xlpm.rowRegion,MATCH(AF184,_xlpm.colSite,0),
_xlpm.rowUser,MATCH("Maximum Simultaneously Active Users per Site",_xlfn.DROP(_xlpm.colSite,_xlpm.rowRegion),0),
INDEX(_xlpm.colData,_xlpm.rowRegion+_xlpm.rowUser))</f>
        <v>2500</v>
      </c>
      <c r="AM184" s="124">
        <f>_xlfn.LET(
    _xlpm.data, 'Base Stations Profiles'!$B:$AJ,
    _xlpm.colSite, INDEX(_xlpm.data,,1),
    _xlpm.colauto, INDEX(_xlpm.data,,3),
    _xlpm.colData, INDEX(_xlpm.data,,2),
    _xlpm.rowRegion, MATCH(AF184, _xlpm.colSite, 0),
    _xlpm.rowThroughput, MATCH("Maximum Throughput for Downlink per Site", _xlfn.DROP(_xlpm.colSite, _xlpm.rowRegion), 0),
    IF(INDEX(_xlpm.colauto, _xlpm.rowRegion + _xlpm.rowThroughput)='Model Configurator Sup'!$M$4,VLOOKUP(AF184,'Base Stations Parameters'!$B:$AI,4,0),INDEX(_xlpm.colData, _xlpm.rowRegion + _xlpm.rowThroughput))
)</f>
        <v>17000</v>
      </c>
      <c r="AN184" s="106">
        <f ca="1">IF($AK184&lt;=0,0,AI184/(AL184*$AK184))</f>
        <v>0.41632405063291139</v>
      </c>
      <c r="AO184" s="106">
        <f ca="1">IF($AK184&lt;=0,0,AJ184/(AM184*$AK184))</f>
        <v>1.3121584283856288E-2</v>
      </c>
      <c r="AP184" s="130">
        <f>VLOOKUP(AF184,'Base Stations Parameters'!$B:$AH,3,0)</f>
        <v>175000</v>
      </c>
      <c r="AQ184">
        <f ca="1">ROUNDUP(MAX(AI184/AL184-AK184,AJ184/AM184-AK184,0),0)</f>
        <v>0</v>
      </c>
      <c r="AR184" s="130">
        <f ca="1">AQ184*AP184</f>
        <v>0</v>
      </c>
    </row>
    <row r="185" spans="2:44" ht="15.75" customHeight="1" thickBot="1" x14ac:dyDescent="0.3">
      <c r="B185" s="69" t="s">
        <v>169</v>
      </c>
      <c r="D185" s="125">
        <v>0.15</v>
      </c>
      <c r="E185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)*D185,0)</f>
        <v>20226</v>
      </c>
      <c r="F185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)*D185</f>
        <v>6136.400233121195</v>
      </c>
      <c r="G185" s="105">
        <f>INDEX('Sites per Region'!$A:$Z, MATCH(B185,'Sites per Region'!$B:$B,0), MATCH(C$180,'Sites per Region'!$8:$8, 0))</f>
        <v>39.5</v>
      </c>
      <c r="H185" s="105">
        <f>_xlfn.LET(
_xlpm.data,'Base Stations Profiles'!$B:$E,
_xlpm.colSite,INDEX(_xlpm.data,,1),
_xlpm.colData,INDEX(_xlpm.data,,2),
_xlpm.rowRegion,MATCH(B185,_xlpm.colSite,0),
_xlpm.rowUser,MATCH("Maximum Simultaneously Active Users per Site",_xlfn.DROP(_xlpm.colSite,_xlpm.rowRegion),0),
INDEX(_xlpm.colData,_xlpm.rowRegion+_xlpm.rowUser))</f>
        <v>2500</v>
      </c>
      <c r="I185" s="124">
        <f>_xlfn.LET(
    _xlpm.data, 'Base Stations Profiles'!$B:$F,
    _xlpm.colSite, INDEX(_xlpm.data,,1),
    _xlpm.colauto, INDEX(_xlpm.data,,3),
    _xlpm.colData, INDEX(_xlpm.data,,2),
    _xlpm.rowRegion, MATCH(B185, _xlpm.colSite, 0),
    _xlpm.rowThroughput, MATCH("Maximum Throughput for Downlink per Site", _xlfn.DROP(_xlpm.colSite, _xlpm.rowRegion), 0),
    IF(INDEX(_xlpm.colauto, _xlpm.rowRegion + _xlpm.rowThroughput)='Model Configurator Sup'!$M$4,VLOOKUP(B185,'Base Stations Parameters'!$B:$E,4,0),INDEX(_xlpm.colData, _xlpm.rowRegion + _xlpm.rowThroughput))
)</f>
        <v>17000</v>
      </c>
      <c r="J185" s="106">
        <f ca="1">IF($G185&lt;=0,0,E185/(H185*$G185))</f>
        <v>0.20482025316455696</v>
      </c>
      <c r="K185" s="106">
        <f ca="1">IF($G185&lt;=0,0,F185/(I185*$G185))</f>
        <v>9.1383473315282127E-3</v>
      </c>
      <c r="L185" s="130">
        <f>VLOOKUP(B185,'Base Stations Parameters'!$B:$D,3,0)</f>
        <v>145000</v>
      </c>
      <c r="M185">
        <f ca="1">ROUNDUP(MAX(E185/H185-G185,F185/I185-G185,0),0)</f>
        <v>0</v>
      </c>
      <c r="N185" s="130">
        <f ca="1">M185*L185</f>
        <v>0</v>
      </c>
      <c r="Q185" s="69" t="s">
        <v>169</v>
      </c>
      <c r="S185" s="125">
        <v>0.15</v>
      </c>
      <c r="T185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)*S185,0)</f>
        <v>24297</v>
      </c>
      <c r="U185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)*S185</f>
        <v>2073.3001737749896</v>
      </c>
      <c r="V185" s="105">
        <f>INDEX('Sites per Region'!$A:$AO, MATCH(Q185,'Sites per Region'!$B:$B,0), MATCH(R$180,'Sites per Region'!$8:$8, 0))</f>
        <v>39.5</v>
      </c>
      <c r="W185" s="105">
        <f>_xlfn.LET(
_xlpm.data,'Base Stations Profiles'!$B:$T,
_xlpm.colSite,INDEX(_xlpm.data,,1),
_xlpm.colData,INDEX(_xlpm.data,,2),
_xlpm.rowRegion,MATCH(Q185,_xlpm.colSite,0),
_xlpm.rowUser,MATCH("Maximum Simultaneously Active Users per Site",_xlfn.DROP(_xlpm.colSite,_xlpm.rowRegion),0),
INDEX(_xlpm.colData,_xlpm.rowRegion+_xlpm.rowUser))</f>
        <v>2500</v>
      </c>
      <c r="X185" s="124">
        <f>_xlfn.LET(
    _xlpm.data, 'Base Stations Profiles'!$B:$U,
    _xlpm.colSite, INDEX(_xlpm.data,,1),
    _xlpm.colauto, INDEX(_xlpm.data,,3),
    _xlpm.colData, INDEX(_xlpm.data,,2),
    _xlpm.rowRegion, MATCH(Q185, _xlpm.colSite, 0),
    _xlpm.rowThroughput, MATCH("Maximum Throughput for Downlink per Site", _xlfn.DROP(_xlpm.colSite, _xlpm.rowRegion), 0),
    IF(INDEX(_xlpm.colauto, _xlpm.rowRegion + _xlpm.rowThroughput)='Model Configurator Sup'!$M$4,VLOOKUP(Q185,'Base Stations Parameters'!$B:$T,4,0),INDEX(_xlpm.colData, _xlpm.rowRegion + _xlpm.rowThroughput))
)</f>
        <v>17000</v>
      </c>
      <c r="Y185" s="106">
        <f ca="1">IF($V185&lt;=0,0,T185/(W185*$V185))</f>
        <v>0.24604556962025317</v>
      </c>
      <c r="Z185" s="106">
        <f ca="1">IF($V185&lt;=0,0,U185/(X185*$V185))</f>
        <v>3.0875654114296196E-3</v>
      </c>
      <c r="AA185" s="130">
        <f>VLOOKUP(Q185,'Base Stations Parameters'!$B:$S,3,0)</f>
        <v>145000</v>
      </c>
      <c r="AB185">
        <f ca="1">ROUNDUP(MAX(T185/W185-V185,U185/X185-V185,0),0)</f>
        <v>0</v>
      </c>
      <c r="AC185" s="130">
        <f ca="1">AB185*AA185</f>
        <v>0</v>
      </c>
      <c r="AF185" s="69" t="s">
        <v>169</v>
      </c>
      <c r="AH185" s="125">
        <v>0.15</v>
      </c>
      <c r="AI185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)*AH185,0)</f>
        <v>41112</v>
      </c>
      <c r="AJ185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)*AH185</f>
        <v>8811.1438466094969</v>
      </c>
      <c r="AK185" s="105">
        <f>INDEX('Sites per Region'!$A:$BD, MATCH(AF185,'Sites per Region'!$B:$B,0), MATCH(AG$180,'Sites per Region'!$8:$8, 0))</f>
        <v>39.5</v>
      </c>
      <c r="AL185" s="105">
        <f>_xlfn.LET(
_xlpm.data,'Base Stations Profiles'!$B:$AI,
_xlpm.colSite,INDEX(_xlpm.data,,1),
_xlpm.colData,INDEX(_xlpm.data,,2),
_xlpm.rowRegion,MATCH(AF185,_xlpm.colSite,0),
_xlpm.rowUser,MATCH("Maximum Simultaneously Active Users per Site",_xlfn.DROP(_xlpm.colSite,_xlpm.rowRegion),0),
INDEX(_xlpm.colData,_xlpm.rowRegion+_xlpm.rowUser))</f>
        <v>2500</v>
      </c>
      <c r="AM185" s="124">
        <f>_xlfn.LET(
    _xlpm.data, 'Base Stations Profiles'!$B:$AJ,
    _xlpm.colSite, INDEX(_xlpm.data,,1),
    _xlpm.colauto, INDEX(_xlpm.data,,3),
    _xlpm.colData, INDEX(_xlpm.data,,2),
    _xlpm.rowRegion, MATCH(AF185, _xlpm.colSite, 0),
    _xlpm.rowThroughput, MATCH("Maximum Throughput for Downlink per Site", _xlfn.DROP(_xlpm.colSite, _xlpm.rowRegion), 0),
    IF(INDEX(_xlpm.colauto, _xlpm.rowRegion + _xlpm.rowThroughput)='Model Configurator Sup'!$M$4,VLOOKUP(AF185,'Base Stations Parameters'!$B:$AI,4,0),INDEX(_xlpm.colData, _xlpm.rowRegion + _xlpm.rowThroughput))
)</f>
        <v>17000</v>
      </c>
      <c r="AN185" s="106">
        <f ca="1">IF($AK185&lt;=0,0,AI185/(AL185*$AK185))</f>
        <v>0.41632405063291139</v>
      </c>
      <c r="AO185" s="106">
        <f ca="1">IF($AK185&lt;=0,0,AJ185/(AM185*$AK185))</f>
        <v>1.3121584283856288E-2</v>
      </c>
      <c r="AP185" s="130">
        <f>VLOOKUP(AF185,'Base Stations Parameters'!$B:$AH,3,0)</f>
        <v>145000</v>
      </c>
      <c r="AQ185">
        <f ca="1">ROUNDUP(MAX(AI185/AL185-AK185,AJ185/AM185-AK185,0),0)</f>
        <v>0</v>
      </c>
      <c r="AR185" s="130">
        <f ca="1">AQ185*AP185</f>
        <v>0</v>
      </c>
    </row>
    <row r="186" spans="2:44" ht="15.75" customHeight="1" thickBot="1" x14ac:dyDescent="0.3">
      <c r="B186" s="69" t="s">
        <v>246</v>
      </c>
      <c r="D186" s="125">
        <v>0.15</v>
      </c>
      <c r="E186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)*D186,0)</f>
        <v>20226</v>
      </c>
      <c r="F186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)*D186</f>
        <v>6136.400233121195</v>
      </c>
      <c r="G186" s="105">
        <f>INDEX('Sites per Region'!$A:$Z, MATCH(B186,'Sites per Region'!$B:$B,0), MATCH(C$180,'Sites per Region'!$8:$8, 0))</f>
        <v>26</v>
      </c>
      <c r="H186" s="105">
        <f>_xlfn.LET(
_xlpm.data,'Base Stations Profiles'!$B:$E,
_xlpm.colSite,INDEX(_xlpm.data,,1),
_xlpm.colData,INDEX(_xlpm.data,,2),
_xlpm.rowRegion,MATCH(B186,_xlpm.colSite,0),
_xlpm.rowUser,MATCH("Maximum Simultaneously Active Users per Site",_xlfn.DROP(_xlpm.colSite,_xlpm.rowRegion),0),
INDEX(_xlpm.colData,_xlpm.rowRegion+_xlpm.rowUser))</f>
        <v>1500</v>
      </c>
      <c r="I186" s="124">
        <f>_xlfn.LET(
    _xlpm.data, 'Base Stations Profiles'!$B:$F,
    _xlpm.colSite, INDEX(_xlpm.data,,1),
    _xlpm.colauto, INDEX(_xlpm.data,,3),
    _xlpm.colData, INDEX(_xlpm.data,,2),
    _xlpm.rowRegion, MATCH(B186, _xlpm.colSite, 0),
    _xlpm.rowThroughput, MATCH("Maximum Throughput for Downlink per Site", _xlfn.DROP(_xlpm.colSite, _xlpm.rowRegion), 0),
    IF(INDEX(_xlpm.colauto, _xlpm.rowRegion + _xlpm.rowThroughput)='Model Configurator Sup'!$M$4,VLOOKUP(B186,'Base Stations Parameters'!$B:$E,4,0),INDEX(_xlpm.colData, _xlpm.rowRegion + _xlpm.rowThroughput))
)</f>
        <v>12000</v>
      </c>
      <c r="J186" s="106">
        <f ca="1">IF($G186&lt;=0,0,E186/(H186*$G186))</f>
        <v>0.51861538461538459</v>
      </c>
      <c r="K186" s="106">
        <f ca="1">IF($G186&lt;=0,0,F186/(I186*$G186))</f>
        <v>1.9667949465132034E-2</v>
      </c>
      <c r="L186" s="130">
        <f>VLOOKUP(B186,'Base Stations Parameters'!$B:$D,3,0)</f>
        <v>145000</v>
      </c>
      <c r="M186">
        <f ca="1">ROUNDUP(MAX(E186/H186-G186,F186/I186-G186,0),0)</f>
        <v>0</v>
      </c>
      <c r="N186" s="130">
        <f ca="1">M186*L186</f>
        <v>0</v>
      </c>
      <c r="Q186" s="69" t="s">
        <v>246</v>
      </c>
      <c r="S186" s="125">
        <v>0.15</v>
      </c>
      <c r="T186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)*S186,0)</f>
        <v>24297</v>
      </c>
      <c r="U186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)*S186</f>
        <v>2073.3001737749896</v>
      </c>
      <c r="V186" s="105">
        <f>INDEX('Sites per Region'!$A:$AO, MATCH(Q186,'Sites per Region'!$B:$B,0), MATCH(R$180,'Sites per Region'!$8:$8, 0))</f>
        <v>26</v>
      </c>
      <c r="W186" s="105">
        <f>_xlfn.LET(
_xlpm.data,'Base Stations Profiles'!$B:$T,
_xlpm.colSite,INDEX(_xlpm.data,,1),
_xlpm.colData,INDEX(_xlpm.data,,2),
_xlpm.rowRegion,MATCH(Q186,_xlpm.colSite,0),
_xlpm.rowUser,MATCH("Maximum Simultaneously Active Users per Site",_xlfn.DROP(_xlpm.colSite,_xlpm.rowRegion),0),
INDEX(_xlpm.colData,_xlpm.rowRegion+_xlpm.rowUser))</f>
        <v>1500</v>
      </c>
      <c r="X186" s="124">
        <f>_xlfn.LET(
    _xlpm.data, 'Base Stations Profiles'!$B:$U,
    _xlpm.colSite, INDEX(_xlpm.data,,1),
    _xlpm.colauto, INDEX(_xlpm.data,,3),
    _xlpm.colData, INDEX(_xlpm.data,,2),
    _xlpm.rowRegion, MATCH(Q186, _xlpm.colSite, 0),
    _xlpm.rowThroughput, MATCH("Maximum Throughput for Downlink per Site", _xlfn.DROP(_xlpm.colSite, _xlpm.rowRegion), 0),
    IF(INDEX(_xlpm.colauto, _xlpm.rowRegion + _xlpm.rowThroughput)='Model Configurator Sup'!$M$4,VLOOKUP(Q186,'Base Stations Parameters'!$B:$T,4,0),INDEX(_xlpm.colData, _xlpm.rowRegion + _xlpm.rowThroughput))
)</f>
        <v>12000</v>
      </c>
      <c r="Y186" s="106">
        <f ca="1">IF($V186&lt;=0,0,T186/(W186*$V186))</f>
        <v>0.623</v>
      </c>
      <c r="Z186" s="106">
        <f ca="1">IF($V186&lt;=0,0,U186/(X186*$V186))</f>
        <v>6.6451928646634279E-3</v>
      </c>
      <c r="AA186" s="130">
        <f>VLOOKUP(Q186,'Base Stations Parameters'!$B:$S,3,0)</f>
        <v>145000</v>
      </c>
      <c r="AB186">
        <f ca="1">ROUNDUP(MAX(T186/W186-V186,U186/X186-V186,0),0)</f>
        <v>0</v>
      </c>
      <c r="AC186" s="130">
        <f ca="1">AB186*AA186</f>
        <v>0</v>
      </c>
      <c r="AF186" s="69" t="s">
        <v>246</v>
      </c>
      <c r="AH186" s="125">
        <v>0.15</v>
      </c>
      <c r="AI186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)*AH186,0)</f>
        <v>41112</v>
      </c>
      <c r="AJ186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)*AH186</f>
        <v>8811.1438466094969</v>
      </c>
      <c r="AK186" s="105">
        <f>INDEX('Sites per Region'!$A:$BD, MATCH(AF186,'Sites per Region'!$B:$B,0), MATCH(AG$180,'Sites per Region'!$8:$8, 0))</f>
        <v>26</v>
      </c>
      <c r="AL186" s="105">
        <f>_xlfn.LET(
_xlpm.data,'Base Stations Profiles'!$B:$AI,
_xlpm.colSite,INDEX(_xlpm.data,,1),
_xlpm.colData,INDEX(_xlpm.data,,2),
_xlpm.rowRegion,MATCH(AF186,_xlpm.colSite,0),
_xlpm.rowUser,MATCH("Maximum Simultaneously Active Users per Site",_xlfn.DROP(_xlpm.colSite,_xlpm.rowRegion),0),
INDEX(_xlpm.colData,_xlpm.rowRegion+_xlpm.rowUser))</f>
        <v>1500</v>
      </c>
      <c r="AM186" s="124">
        <f>_xlfn.LET(
    _xlpm.data, 'Base Stations Profiles'!$B:$AJ,
    _xlpm.colSite, INDEX(_xlpm.data,,1),
    _xlpm.colauto, INDEX(_xlpm.data,,3),
    _xlpm.colData, INDEX(_xlpm.data,,2),
    _xlpm.rowRegion, MATCH(AF186, _xlpm.colSite, 0),
    _xlpm.rowThroughput, MATCH("Maximum Throughput for Downlink per Site", _xlfn.DROP(_xlpm.colSite, _xlpm.rowRegion), 0),
    IF(INDEX(_xlpm.colauto, _xlpm.rowRegion + _xlpm.rowThroughput)='Model Configurator Sup'!$M$4,VLOOKUP(AF186,'Base Stations Parameters'!$B:$AI,4,0),INDEX(_xlpm.colData, _xlpm.rowRegion + _xlpm.rowThroughput))
)</f>
        <v>12000</v>
      </c>
      <c r="AN186" s="106">
        <f ca="1">IF($AK186&lt;=0,0,AI186/(AL186*$AK186))</f>
        <v>1.0541538461538462</v>
      </c>
      <c r="AO186" s="106">
        <f ca="1">IF($AK186&lt;=0,0,AJ186/(AM186*$AK186))</f>
        <v>2.8240845662209926E-2</v>
      </c>
      <c r="AP186" s="130">
        <f>VLOOKUP(AF186,'Base Stations Parameters'!$B:$AH,3,0)</f>
        <v>145000</v>
      </c>
      <c r="AQ186">
        <f ca="1">ROUNDUP(MAX(AI186/AL186-AK186,AJ186/AM186-AK186,0),0)</f>
        <v>2</v>
      </c>
      <c r="AR186" s="130">
        <f ca="1">AQ186*AP186</f>
        <v>290000</v>
      </c>
    </row>
    <row r="187" spans="2:44" ht="15.75" customHeight="1" thickBot="1" x14ac:dyDescent="0.3">
      <c r="B187" s="69" t="s">
        <v>170</v>
      </c>
      <c r="D187" s="125">
        <v>0.15</v>
      </c>
      <c r="E187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)*D187,0)</f>
        <v>20226</v>
      </c>
      <c r="F187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)*D187</f>
        <v>6136.400233121195</v>
      </c>
      <c r="G187" s="105">
        <f>INDEX('Sites per Region'!$A:$Z, MATCH(B187,'Sites per Region'!$B:$B,0), MATCH(C$180,'Sites per Region'!$8:$8, 0))</f>
        <v>26</v>
      </c>
      <c r="H187" s="105">
        <f>_xlfn.LET(
_xlpm.data,'Base Stations Profiles'!$B:$E,
_xlpm.colSite,INDEX(_xlpm.data,,1),
_xlpm.colData,INDEX(_xlpm.data,,2),
_xlpm.rowRegion,MATCH(B187,_xlpm.colSite,0),
_xlpm.rowUser,MATCH("Maximum Simultaneously Active Users per Site",_xlfn.DROP(_xlpm.colSite,_xlpm.rowRegion),0),
INDEX(_xlpm.colData,_xlpm.rowRegion+_xlpm.rowUser))</f>
        <v>1500</v>
      </c>
      <c r="I187" s="124">
        <f>_xlfn.LET(
    _xlpm.data, 'Base Stations Profiles'!$B:$F,
    _xlpm.colSite, INDEX(_xlpm.data,,1),
    _xlpm.colauto, INDEX(_xlpm.data,,3),
    _xlpm.colData, INDEX(_xlpm.data,,2),
    _xlpm.rowRegion, MATCH(B187, _xlpm.colSite, 0),
    _xlpm.rowThroughput, MATCH("Maximum Throughput for Downlink per Site", _xlfn.DROP(_xlpm.colSite, _xlpm.rowRegion), 0),
    IF(INDEX(_xlpm.colauto, _xlpm.rowRegion + _xlpm.rowThroughput)='Model Configurator Sup'!$M$4,VLOOKUP(B187,'Base Stations Parameters'!$B:$E,4,0),INDEX(_xlpm.colData, _xlpm.rowRegion + _xlpm.rowThroughput))
)</f>
        <v>12000</v>
      </c>
      <c r="J187" s="106">
        <f ca="1">IF($G187&lt;=0,0,E187/(H187*$G187))</f>
        <v>0.51861538461538459</v>
      </c>
      <c r="K187" s="106">
        <f ca="1">IF($G187&lt;=0,0,F187/(I187*$G187))</f>
        <v>1.9667949465132034E-2</v>
      </c>
      <c r="L187" s="130">
        <f>VLOOKUP(B187,'Base Stations Parameters'!$B:$D,3,0)</f>
        <v>100000</v>
      </c>
      <c r="M187">
        <f ca="1">ROUNDUP(MAX(E187/H187-G187,F187/I187-G187,0),0)</f>
        <v>0</v>
      </c>
      <c r="N187" s="130">
        <f ca="1">M187*L187</f>
        <v>0</v>
      </c>
      <c r="Q187" s="69" t="s">
        <v>170</v>
      </c>
      <c r="S187" s="125">
        <v>0.15</v>
      </c>
      <c r="T187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)*S187,0)</f>
        <v>24297</v>
      </c>
      <c r="U187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)*S187</f>
        <v>2073.3001737749896</v>
      </c>
      <c r="V187" s="105">
        <f>INDEX('Sites per Region'!$A:$AO, MATCH(Q187,'Sites per Region'!$B:$B,0), MATCH(R$180,'Sites per Region'!$8:$8, 0))</f>
        <v>26</v>
      </c>
      <c r="W187" s="105">
        <f>_xlfn.LET(
_xlpm.data,'Base Stations Profiles'!$B:$T,
_xlpm.colSite,INDEX(_xlpm.data,,1),
_xlpm.colData,INDEX(_xlpm.data,,2),
_xlpm.rowRegion,MATCH(Q187,_xlpm.colSite,0),
_xlpm.rowUser,MATCH("Maximum Simultaneously Active Users per Site",_xlfn.DROP(_xlpm.colSite,_xlpm.rowRegion),0),
INDEX(_xlpm.colData,_xlpm.rowRegion+_xlpm.rowUser))</f>
        <v>1500</v>
      </c>
      <c r="X187" s="124">
        <f>_xlfn.LET(
    _xlpm.data, 'Base Stations Profiles'!$B:$U,
    _xlpm.colSite, INDEX(_xlpm.data,,1),
    _xlpm.colauto, INDEX(_xlpm.data,,3),
    _xlpm.colData, INDEX(_xlpm.data,,2),
    _xlpm.rowRegion, MATCH(Q187, _xlpm.colSite, 0),
    _xlpm.rowThroughput, MATCH("Maximum Throughput for Downlink per Site", _xlfn.DROP(_xlpm.colSite, _xlpm.rowRegion), 0),
    IF(INDEX(_xlpm.colauto, _xlpm.rowRegion + _xlpm.rowThroughput)='Model Configurator Sup'!$M$4,VLOOKUP(Q187,'Base Stations Parameters'!$B:$T,4,0),INDEX(_xlpm.colData, _xlpm.rowRegion + _xlpm.rowThroughput))
)</f>
        <v>12000</v>
      </c>
      <c r="Y187" s="106">
        <f ca="1">IF($V187&lt;=0,0,T187/(W187*$V187))</f>
        <v>0.623</v>
      </c>
      <c r="Z187" s="106">
        <f ca="1">IF($V187&lt;=0,0,U187/(X187*$V187))</f>
        <v>6.6451928646634279E-3</v>
      </c>
      <c r="AA187" s="130">
        <f>VLOOKUP(Q187,'Base Stations Parameters'!$B:$S,3,0)</f>
        <v>100000</v>
      </c>
      <c r="AB187">
        <f ca="1">ROUNDUP(MAX(T187/W187-V187,U187/X187-V187,0),0)</f>
        <v>0</v>
      </c>
      <c r="AC187" s="130">
        <f ca="1">AB187*AA187</f>
        <v>0</v>
      </c>
      <c r="AF187" s="69" t="s">
        <v>170</v>
      </c>
      <c r="AH187" s="125">
        <v>0.15</v>
      </c>
      <c r="AI187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)*AH187,0)</f>
        <v>41112</v>
      </c>
      <c r="AJ187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)*AH187</f>
        <v>8811.1438466094969</v>
      </c>
      <c r="AK187" s="105">
        <f>INDEX('Sites per Region'!$A:$BD, MATCH(AF187,'Sites per Region'!$B:$B,0), MATCH(AG$180,'Sites per Region'!$8:$8, 0))</f>
        <v>26</v>
      </c>
      <c r="AL187" s="105">
        <f>_xlfn.LET(
_xlpm.data,'Base Stations Profiles'!$B:$AI,
_xlpm.colSite,INDEX(_xlpm.data,,1),
_xlpm.colData,INDEX(_xlpm.data,,2),
_xlpm.rowRegion,MATCH(AF187,_xlpm.colSite,0),
_xlpm.rowUser,MATCH("Maximum Simultaneously Active Users per Site",_xlfn.DROP(_xlpm.colSite,_xlpm.rowRegion),0),
INDEX(_xlpm.colData,_xlpm.rowRegion+_xlpm.rowUser))</f>
        <v>1500</v>
      </c>
      <c r="AM187" s="124">
        <f>_xlfn.LET(
    _xlpm.data, 'Base Stations Profiles'!$B:$AJ,
    _xlpm.colSite, INDEX(_xlpm.data,,1),
    _xlpm.colauto, INDEX(_xlpm.data,,3),
    _xlpm.colData, INDEX(_xlpm.data,,2),
    _xlpm.rowRegion, MATCH(AF187, _xlpm.colSite, 0),
    _xlpm.rowThroughput, MATCH("Maximum Throughput for Downlink per Site", _xlfn.DROP(_xlpm.colSite, _xlpm.rowRegion), 0),
    IF(INDEX(_xlpm.colauto, _xlpm.rowRegion + _xlpm.rowThroughput)='Model Configurator Sup'!$M$4,VLOOKUP(AF187,'Base Stations Parameters'!$B:$AI,4,0),INDEX(_xlpm.colData, _xlpm.rowRegion + _xlpm.rowThroughput))
)</f>
        <v>12000</v>
      </c>
      <c r="AN187" s="106">
        <f ca="1">IF($AK187&lt;=0,0,AI187/(AL187*$AK187))</f>
        <v>1.0541538461538462</v>
      </c>
      <c r="AO187" s="106">
        <f ca="1">IF($AK187&lt;=0,0,AJ187/(AM187*$AK187))</f>
        <v>2.8240845662209926E-2</v>
      </c>
      <c r="AP187" s="130">
        <f>VLOOKUP(AF187,'Base Stations Parameters'!$B:$AH,3,0)</f>
        <v>100000</v>
      </c>
      <c r="AQ187">
        <f ca="1">ROUNDUP(MAX(AI187/AL187-AK187,AJ187/AM187-AK187,0),0)</f>
        <v>2</v>
      </c>
      <c r="AR187" s="130">
        <f ca="1">AQ187*AP187</f>
        <v>200000</v>
      </c>
    </row>
    <row r="188" spans="2:44" ht="15.75" customHeight="1" thickBot="1" x14ac:dyDescent="0.3">
      <c r="B188" s="69" t="s">
        <v>247</v>
      </c>
      <c r="D188" s="125">
        <v>7.4999999999999997E-2</v>
      </c>
      <c r="E188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)*D188,0)</f>
        <v>10113</v>
      </c>
      <c r="F188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)*D188</f>
        <v>3068.2001165605975</v>
      </c>
      <c r="G188" s="105">
        <f>INDEX('Sites per Region'!$A:$Z, MATCH(B188,'Sites per Region'!$B:$B,0), MATCH(C$180,'Sites per Region'!$8:$8, 0))</f>
        <v>35</v>
      </c>
      <c r="H188" s="105">
        <f>_xlfn.LET(
_xlpm.data,'Base Stations Profiles'!$B:$E,
_xlpm.colSite,INDEX(_xlpm.data,,1),
_xlpm.colData,INDEX(_xlpm.data,,2),
_xlpm.rowRegion,MATCH(B188,_xlpm.colSite,0),
_xlpm.rowUser,MATCH("Maximum Simultaneously Active Users per Site",_xlfn.DROP(_xlpm.colSite,_xlpm.rowRegion),0),
INDEX(_xlpm.colData,_xlpm.rowRegion+_xlpm.rowUser))</f>
        <v>750</v>
      </c>
      <c r="I188" s="124">
        <f>_xlfn.LET(
    _xlpm.data, 'Base Stations Profiles'!$B:$F,
    _xlpm.colSite, INDEX(_xlpm.data,,1),
    _xlpm.colauto, INDEX(_xlpm.data,,3),
    _xlpm.colData, INDEX(_xlpm.data,,2),
    _xlpm.rowRegion, MATCH(B188, _xlpm.colSite, 0),
    _xlpm.rowThroughput, MATCH("Maximum Throughput for Downlink per Site", _xlfn.DROP(_xlpm.colSite, _xlpm.rowRegion), 0),
    IF(INDEX(_xlpm.colauto, _xlpm.rowRegion + _xlpm.rowThroughput)='Model Configurator Sup'!$M$4,VLOOKUP(B188,'Base Stations Parameters'!$B:$E,4,0),INDEX(_xlpm.colData, _xlpm.rowRegion + _xlpm.rowThroughput))
)</f>
        <v>5000</v>
      </c>
      <c r="J188" s="106">
        <f ca="1">IF($G188&lt;=0,0,E188/(H188*$G188))</f>
        <v>0.38525714285714285</v>
      </c>
      <c r="K188" s="106">
        <f ca="1">IF($G188&lt;=0,0,F188/(I188*$G188))</f>
        <v>1.7532572094631986E-2</v>
      </c>
      <c r="L188" s="130">
        <f>VLOOKUP(B188,'Base Stations Parameters'!$B:$D,3,0)</f>
        <v>100000</v>
      </c>
      <c r="M188">
        <f ca="1">ROUNDUP(MAX(E188/H188-G188,F188/I188-G188,0),0)</f>
        <v>0</v>
      </c>
      <c r="N188" s="130">
        <f ca="1">M188*L188</f>
        <v>0</v>
      </c>
      <c r="Q188" s="69" t="s">
        <v>247</v>
      </c>
      <c r="S188" s="125">
        <v>7.4999999999999997E-2</v>
      </c>
      <c r="T188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)*S188,0)</f>
        <v>12148</v>
      </c>
      <c r="U188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)*S188</f>
        <v>1036.6500868874948</v>
      </c>
      <c r="V188" s="105">
        <f>INDEX('Sites per Region'!$A:$AO, MATCH(Q188,'Sites per Region'!$B:$B,0), MATCH(R$180,'Sites per Region'!$8:$8, 0))</f>
        <v>35</v>
      </c>
      <c r="W188" s="105">
        <f>_xlfn.LET(
_xlpm.data,'Base Stations Profiles'!$B:$T,
_xlpm.colSite,INDEX(_xlpm.data,,1),
_xlpm.colData,INDEX(_xlpm.data,,2),
_xlpm.rowRegion,MATCH(Q188,_xlpm.colSite,0),
_xlpm.rowUser,MATCH("Maximum Simultaneously Active Users per Site",_xlfn.DROP(_xlpm.colSite,_xlpm.rowRegion),0),
INDEX(_xlpm.colData,_xlpm.rowRegion+_xlpm.rowUser))</f>
        <v>750</v>
      </c>
      <c r="X188" s="124">
        <f>_xlfn.LET(
    _xlpm.data, 'Base Stations Profiles'!$B:$U,
    _xlpm.colSite, INDEX(_xlpm.data,,1),
    _xlpm.colauto, INDEX(_xlpm.data,,3),
    _xlpm.colData, INDEX(_xlpm.data,,2),
    _xlpm.rowRegion, MATCH(Q188, _xlpm.colSite, 0),
    _xlpm.rowThroughput, MATCH("Maximum Throughput for Downlink per Site", _xlfn.DROP(_xlpm.colSite, _xlpm.rowRegion), 0),
    IF(INDEX(_xlpm.colauto, _xlpm.rowRegion + _xlpm.rowThroughput)='Model Configurator Sup'!$M$4,VLOOKUP(Q188,'Base Stations Parameters'!$B:$T,4,0),INDEX(_xlpm.colData, _xlpm.rowRegion + _xlpm.rowThroughput))
)</f>
        <v>5000</v>
      </c>
      <c r="Y188" s="106">
        <f ca="1">IF($V188&lt;=0,0,T188/(W188*$V188))</f>
        <v>0.4627809523809524</v>
      </c>
      <c r="Z188" s="106">
        <f ca="1">IF($V188&lt;=0,0,U188/(X188*$V188))</f>
        <v>5.9237147822142561E-3</v>
      </c>
      <c r="AA188" s="130">
        <f>VLOOKUP(Q188,'Base Stations Parameters'!$B:$S,3,0)</f>
        <v>100000</v>
      </c>
      <c r="AB188">
        <f ca="1">ROUNDUP(MAX(T188/W188-V188,U188/X188-V188,0),0)</f>
        <v>0</v>
      </c>
      <c r="AC188" s="130">
        <f ca="1">AB188*AA188</f>
        <v>0</v>
      </c>
      <c r="AF188" s="69" t="s">
        <v>247</v>
      </c>
      <c r="AH188" s="125">
        <v>7.4999999999999997E-2</v>
      </c>
      <c r="AI188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)*AH188,0)</f>
        <v>20556</v>
      </c>
      <c r="AJ188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)*AH188</f>
        <v>4405.5719233047485</v>
      </c>
      <c r="AK188" s="105">
        <f>INDEX('Sites per Region'!$A:$BD, MATCH(AF188,'Sites per Region'!$B:$B,0), MATCH(AG$180,'Sites per Region'!$8:$8, 0))</f>
        <v>35</v>
      </c>
      <c r="AL188" s="105">
        <f>_xlfn.LET(
_xlpm.data,'Base Stations Profiles'!$B:$AI,
_xlpm.colSite,INDEX(_xlpm.data,,1),
_xlpm.colData,INDEX(_xlpm.data,,2),
_xlpm.rowRegion,MATCH(AF188,_xlpm.colSite,0),
_xlpm.rowUser,MATCH("Maximum Simultaneously Active Users per Site",_xlfn.DROP(_xlpm.colSite,_xlpm.rowRegion),0),
INDEX(_xlpm.colData,_xlpm.rowRegion+_xlpm.rowUser))</f>
        <v>750</v>
      </c>
      <c r="AM188" s="124">
        <f>_xlfn.LET(
    _xlpm.data, 'Base Stations Profiles'!$B:$AJ,
    _xlpm.colSite, INDEX(_xlpm.data,,1),
    _xlpm.colauto, INDEX(_xlpm.data,,3),
    _xlpm.colData, INDEX(_xlpm.data,,2),
    _xlpm.rowRegion, MATCH(AF188, _xlpm.colSite, 0),
    _xlpm.rowThroughput, MATCH("Maximum Throughput for Downlink per Site", _xlfn.DROP(_xlpm.colSite, _xlpm.rowRegion), 0),
    IF(INDEX(_xlpm.colauto, _xlpm.rowRegion + _xlpm.rowThroughput)='Model Configurator Sup'!$M$4,VLOOKUP(AF188,'Base Stations Parameters'!$B:$AI,4,0),INDEX(_xlpm.colData, _xlpm.rowRegion + _xlpm.rowThroughput))
)</f>
        <v>5000</v>
      </c>
      <c r="AN188" s="106">
        <f ca="1">IF($AK188&lt;=0,0,AI188/(AL188*$AK188))</f>
        <v>0.78308571428571427</v>
      </c>
      <c r="AO188" s="106">
        <f ca="1">IF($AK188&lt;=0,0,AJ188/(AM188*$AK188))</f>
        <v>2.5174696704598563E-2</v>
      </c>
      <c r="AP188" s="130">
        <f>VLOOKUP(AF188,'Base Stations Parameters'!$B:$AH,3,0)</f>
        <v>100000</v>
      </c>
      <c r="AQ188">
        <f ca="1">ROUNDUP(MAX(AI188/AL188-AK188,AJ188/AM188-AK188,0),0)</f>
        <v>0</v>
      </c>
      <c r="AR188" s="130">
        <f ca="1">AQ188*AP188</f>
        <v>0</v>
      </c>
    </row>
    <row r="189" spans="2:44" ht="15.75" customHeight="1" thickBot="1" x14ac:dyDescent="0.3">
      <c r="B189" s="69" t="s">
        <v>171</v>
      </c>
      <c r="D189" s="125">
        <v>7.4999999999999997E-2</v>
      </c>
      <c r="E189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)*D189,0)</f>
        <v>10113</v>
      </c>
      <c r="F189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)*D189</f>
        <v>3068.2001165605975</v>
      </c>
      <c r="G189" s="105">
        <f>INDEX('Sites per Region'!$A:$Z, MATCH(B189,'Sites per Region'!$B:$B,0), MATCH(C$180,'Sites per Region'!$8:$8, 0))</f>
        <v>35</v>
      </c>
      <c r="H189" s="105">
        <f>_xlfn.LET(
_xlpm.data,'Base Stations Profiles'!$B:$E,
_xlpm.colSite,INDEX(_xlpm.data,,1),
_xlpm.colData,INDEX(_xlpm.data,,2),
_xlpm.rowRegion,MATCH(B189,_xlpm.colSite,0),
_xlpm.rowUser,MATCH("Maximum Simultaneously Active Users per Site",_xlfn.DROP(_xlpm.colSite,_xlpm.rowRegion),0),
INDEX(_xlpm.colData,_xlpm.rowRegion+_xlpm.rowUser))</f>
        <v>750</v>
      </c>
      <c r="I189" s="124">
        <f>_xlfn.LET(
    _xlpm.data, 'Base Stations Profiles'!$B:$F,
    _xlpm.colSite, INDEX(_xlpm.data,,1),
    _xlpm.colauto, INDEX(_xlpm.data,,3),
    _xlpm.colData, INDEX(_xlpm.data,,2),
    _xlpm.rowRegion, MATCH(B189, _xlpm.colSite, 0),
    _xlpm.rowThroughput, MATCH("Maximum Throughput for Downlink per Site", _xlfn.DROP(_xlpm.colSite, _xlpm.rowRegion), 0),
    IF(INDEX(_xlpm.colauto, _xlpm.rowRegion + _xlpm.rowThroughput)='Model Configurator Sup'!$M$4,VLOOKUP(B189,'Base Stations Parameters'!$B:$E,4,0),INDEX(_xlpm.colData, _xlpm.rowRegion + _xlpm.rowThroughput))
)</f>
        <v>5000</v>
      </c>
      <c r="J189" s="106">
        <f ca="1">IF($G189&lt;=0,0,E189/(H189*$G189))</f>
        <v>0.38525714285714285</v>
      </c>
      <c r="K189" s="106">
        <f ca="1">IF($G189&lt;=0,0,F189/(I189*$G189))</f>
        <v>1.7532572094631986E-2</v>
      </c>
      <c r="L189" s="130">
        <f>VLOOKUP(B189,'Base Stations Parameters'!$B:$D,3,0)</f>
        <v>95000</v>
      </c>
      <c r="M189">
        <f ca="1">ROUNDUP(MAX(E189/H189-G189,F189/I189-G189,0),0)</f>
        <v>0</v>
      </c>
      <c r="N189" s="130">
        <f ca="1">M189*L189</f>
        <v>0</v>
      </c>
      <c r="Q189" s="69" t="s">
        <v>171</v>
      </c>
      <c r="S189" s="125">
        <v>7.4999999999999997E-2</v>
      </c>
      <c r="T189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)*S189,0)</f>
        <v>12148</v>
      </c>
      <c r="U189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)*S189</f>
        <v>1036.6500868874948</v>
      </c>
      <c r="V189" s="105">
        <f>INDEX('Sites per Region'!$A:$AO, MATCH(Q189,'Sites per Region'!$B:$B,0), MATCH(R$180,'Sites per Region'!$8:$8, 0))</f>
        <v>35</v>
      </c>
      <c r="W189" s="105">
        <f>_xlfn.LET(
_xlpm.data,'Base Stations Profiles'!$B:$T,
_xlpm.colSite,INDEX(_xlpm.data,,1),
_xlpm.colData,INDEX(_xlpm.data,,2),
_xlpm.rowRegion,MATCH(Q189,_xlpm.colSite,0),
_xlpm.rowUser,MATCH("Maximum Simultaneously Active Users per Site",_xlfn.DROP(_xlpm.colSite,_xlpm.rowRegion),0),
INDEX(_xlpm.colData,_xlpm.rowRegion+_xlpm.rowUser))</f>
        <v>750</v>
      </c>
      <c r="X189" s="124">
        <f>_xlfn.LET(
    _xlpm.data, 'Base Stations Profiles'!$B:$U,
    _xlpm.colSite, INDEX(_xlpm.data,,1),
    _xlpm.colauto, INDEX(_xlpm.data,,3),
    _xlpm.colData, INDEX(_xlpm.data,,2),
    _xlpm.rowRegion, MATCH(Q189, _xlpm.colSite, 0),
    _xlpm.rowThroughput, MATCH("Maximum Throughput for Downlink per Site", _xlfn.DROP(_xlpm.colSite, _xlpm.rowRegion), 0),
    IF(INDEX(_xlpm.colauto, _xlpm.rowRegion + _xlpm.rowThroughput)='Model Configurator Sup'!$M$4,VLOOKUP(Q189,'Base Stations Parameters'!$B:$T,4,0),INDEX(_xlpm.colData, _xlpm.rowRegion + _xlpm.rowThroughput))
)</f>
        <v>5000</v>
      </c>
      <c r="Y189" s="106">
        <f ca="1">IF($V189&lt;=0,0,T189/(W189*$V189))</f>
        <v>0.4627809523809524</v>
      </c>
      <c r="Z189" s="106">
        <f ca="1">IF($V189&lt;=0,0,U189/(X189*$V189))</f>
        <v>5.9237147822142561E-3</v>
      </c>
      <c r="AA189" s="130">
        <f>VLOOKUP(Q189,'Base Stations Parameters'!$B:$S,3,0)</f>
        <v>95000</v>
      </c>
      <c r="AB189">
        <f ca="1">ROUNDUP(MAX(T189/W189-V189,U189/X189-V189,0),0)</f>
        <v>0</v>
      </c>
      <c r="AC189" s="130">
        <f ca="1">AB189*AA189</f>
        <v>0</v>
      </c>
      <c r="AF189" s="69" t="s">
        <v>171</v>
      </c>
      <c r="AH189" s="125">
        <v>7.4999999999999997E-2</v>
      </c>
      <c r="AI189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)*AH189,0)</f>
        <v>20556</v>
      </c>
      <c r="AJ189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)*AH189</f>
        <v>4405.5719233047485</v>
      </c>
      <c r="AK189" s="105">
        <f>INDEX('Sites per Region'!$A:$BD, MATCH(AF189,'Sites per Region'!$B:$B,0), MATCH(AG$180,'Sites per Region'!$8:$8, 0))</f>
        <v>35</v>
      </c>
      <c r="AL189" s="105">
        <f>_xlfn.LET(
_xlpm.data,'Base Stations Profiles'!$B:$AI,
_xlpm.colSite,INDEX(_xlpm.data,,1),
_xlpm.colData,INDEX(_xlpm.data,,2),
_xlpm.rowRegion,MATCH(AF189,_xlpm.colSite,0),
_xlpm.rowUser,MATCH("Maximum Simultaneously Active Users per Site",_xlfn.DROP(_xlpm.colSite,_xlpm.rowRegion),0),
INDEX(_xlpm.colData,_xlpm.rowRegion+_xlpm.rowUser))</f>
        <v>750</v>
      </c>
      <c r="AM189" s="124">
        <f>_xlfn.LET(
    _xlpm.data, 'Base Stations Profiles'!$B:$AJ,
    _xlpm.colSite, INDEX(_xlpm.data,,1),
    _xlpm.colauto, INDEX(_xlpm.data,,3),
    _xlpm.colData, INDEX(_xlpm.data,,2),
    _xlpm.rowRegion, MATCH(AF189, _xlpm.colSite, 0),
    _xlpm.rowThroughput, MATCH("Maximum Throughput for Downlink per Site", _xlfn.DROP(_xlpm.colSite, _xlpm.rowRegion), 0),
    IF(INDEX(_xlpm.colauto, _xlpm.rowRegion + _xlpm.rowThroughput)='Model Configurator Sup'!$M$4,VLOOKUP(AF189,'Base Stations Parameters'!$B:$AI,4,0),INDEX(_xlpm.colData, _xlpm.rowRegion + _xlpm.rowThroughput))
)</f>
        <v>5000</v>
      </c>
      <c r="AN189" s="106">
        <f ca="1">IF($AK189&lt;=0,0,AI189/(AL189*$AK189))</f>
        <v>0.78308571428571427</v>
      </c>
      <c r="AO189" s="106">
        <f ca="1">IF($AK189&lt;=0,0,AJ189/(AM189*$AK189))</f>
        <v>2.5174696704598563E-2</v>
      </c>
      <c r="AP189" s="130">
        <f>VLOOKUP(AF189,'Base Stations Parameters'!$B:$AH,3,0)</f>
        <v>95000</v>
      </c>
      <c r="AQ189">
        <f ca="1">ROUNDUP(MAX(AI189/AL189-AK189,AJ189/AM189-AK189,0),0)</f>
        <v>0</v>
      </c>
      <c r="AR189" s="130">
        <f ca="1">AQ189*AP189</f>
        <v>0</v>
      </c>
    </row>
    <row r="190" spans="2:44" ht="15.75" customHeight="1" thickBot="1" x14ac:dyDescent="0.3">
      <c r="B190" s="69" t="s">
        <v>248</v>
      </c>
      <c r="D190" s="125">
        <v>0.05</v>
      </c>
      <c r="E190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)*D190,0)</f>
        <v>6742</v>
      </c>
      <c r="F190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)*D190</f>
        <v>2045.4667443737319</v>
      </c>
      <c r="G190" s="105">
        <f>INDEX('Sites per Region'!$A:$Z, MATCH(B190,'Sites per Region'!$B:$B,0), MATCH(C$180,'Sites per Region'!$8:$8, 0))</f>
        <v>36</v>
      </c>
      <c r="H190" s="105">
        <f>_xlfn.LET(
_xlpm.data,'Base Stations Profiles'!$B:$E,
_xlpm.colSite,INDEX(_xlpm.data,,1),
_xlpm.colData,INDEX(_xlpm.data,,2),
_xlpm.rowRegion,MATCH(B190,_xlpm.colSite,0),
_xlpm.rowUser,MATCH("Maximum Simultaneously Active Users per Site",_xlfn.DROP(_xlpm.colSite,_xlpm.rowRegion),0),
INDEX(_xlpm.colData,_xlpm.rowRegion+_xlpm.rowUser))</f>
        <v>1500</v>
      </c>
      <c r="I190" s="124">
        <f>_xlfn.LET(
    _xlpm.data, 'Base Stations Profiles'!$B:$F,
    _xlpm.colSite, INDEX(_xlpm.data,,1),
    _xlpm.colauto, INDEX(_xlpm.data,,3),
    _xlpm.colData, INDEX(_xlpm.data,,2),
    _xlpm.rowRegion, MATCH(B190, _xlpm.colSite, 0),
    _xlpm.rowThroughput, MATCH("Maximum Throughput for Downlink per Site", _xlfn.DROP(_xlpm.colSite, _xlpm.rowRegion), 0),
    IF(INDEX(_xlpm.colauto, _xlpm.rowRegion + _xlpm.rowThroughput)='Model Configurator Sup'!$M$4,VLOOKUP(B190,'Base Stations Parameters'!$B:$E,4,0),INDEX(_xlpm.colData, _xlpm.rowRegion + _xlpm.rowThroughput))
)</f>
        <v>2000</v>
      </c>
      <c r="J190" s="106">
        <f ca="1">IF($G190&lt;=0,0,E190/(H190*$G190))</f>
        <v>0.12485185185185185</v>
      </c>
      <c r="K190" s="106">
        <f ca="1">IF($G190&lt;=0,0,F190/(I190*$G190))</f>
        <v>2.8409260338524055E-2</v>
      </c>
      <c r="L190" s="130">
        <f>VLOOKUP(B190,'Base Stations Parameters'!$B:$D,3,0)</f>
        <v>95000</v>
      </c>
      <c r="M190">
        <f ca="1">ROUNDUP(MAX(E190/H190-G190,F190/I190-G190,0),0)</f>
        <v>0</v>
      </c>
      <c r="N190" s="130">
        <f ca="1">M190*L190</f>
        <v>0</v>
      </c>
      <c r="Q190" s="69" t="s">
        <v>248</v>
      </c>
      <c r="S190" s="125">
        <v>0.05</v>
      </c>
      <c r="T190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)*S190,0)</f>
        <v>8099</v>
      </c>
      <c r="U190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)*S190</f>
        <v>691.10005792499669</v>
      </c>
      <c r="V190" s="105">
        <f>INDEX('Sites per Region'!$A:$AO, MATCH(Q190,'Sites per Region'!$B:$B,0), MATCH(R$180,'Sites per Region'!$8:$8, 0))</f>
        <v>36</v>
      </c>
      <c r="W190" s="105">
        <f>_xlfn.LET(
_xlpm.data,'Base Stations Profiles'!$B:$T,
_xlpm.colSite,INDEX(_xlpm.data,,1),
_xlpm.colData,INDEX(_xlpm.data,,2),
_xlpm.rowRegion,MATCH(Q190,_xlpm.colSite,0),
_xlpm.rowUser,MATCH("Maximum Simultaneously Active Users per Site",_xlfn.DROP(_xlpm.colSite,_xlpm.rowRegion),0),
INDEX(_xlpm.colData,_xlpm.rowRegion+_xlpm.rowUser))</f>
        <v>1500</v>
      </c>
      <c r="X190" s="124">
        <f>_xlfn.LET(
    _xlpm.data, 'Base Stations Profiles'!$B:$U,
    _xlpm.colSite, INDEX(_xlpm.data,,1),
    _xlpm.colauto, INDEX(_xlpm.data,,3),
    _xlpm.colData, INDEX(_xlpm.data,,2),
    _xlpm.rowRegion, MATCH(Q190, _xlpm.colSite, 0),
    _xlpm.rowThroughput, MATCH("Maximum Throughput for Downlink per Site", _xlfn.DROP(_xlpm.colSite, _xlpm.rowRegion), 0),
    IF(INDEX(_xlpm.colauto, _xlpm.rowRegion + _xlpm.rowThroughput)='Model Configurator Sup'!$M$4,VLOOKUP(Q190,'Base Stations Parameters'!$B:$T,4,0),INDEX(_xlpm.colData, _xlpm.rowRegion + _xlpm.rowThroughput))
)</f>
        <v>2000</v>
      </c>
      <c r="Y190" s="106">
        <f ca="1">IF($V190&lt;=0,0,T190/(W190*$V190))</f>
        <v>0.14998148148148149</v>
      </c>
      <c r="Z190" s="106">
        <f ca="1">IF($V190&lt;=0,0,U190/(X190*$V190))</f>
        <v>9.5986119156249543E-3</v>
      </c>
      <c r="AA190" s="130">
        <f>VLOOKUP(Q190,'Base Stations Parameters'!$B:$S,3,0)</f>
        <v>95000</v>
      </c>
      <c r="AB190">
        <f ca="1">ROUNDUP(MAX(T190/W190-V190,U190/X190-V190,0),0)</f>
        <v>0</v>
      </c>
      <c r="AC190" s="130">
        <f ca="1">AB190*AA190</f>
        <v>0</v>
      </c>
      <c r="AF190" s="69" t="s">
        <v>248</v>
      </c>
      <c r="AH190" s="125">
        <v>0.05</v>
      </c>
      <c r="AI190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)*AH190,0)</f>
        <v>13704</v>
      </c>
      <c r="AJ190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)*AH190</f>
        <v>2937.0479488698329</v>
      </c>
      <c r="AK190" s="105">
        <f>INDEX('Sites per Region'!$A:$BD, MATCH(AF190,'Sites per Region'!$B:$B,0), MATCH(AG$180,'Sites per Region'!$8:$8, 0))</f>
        <v>36</v>
      </c>
      <c r="AL190" s="105">
        <f>_xlfn.LET(
_xlpm.data,'Base Stations Profiles'!$B:$AI,
_xlpm.colSite,INDEX(_xlpm.data,,1),
_xlpm.colData,INDEX(_xlpm.data,,2),
_xlpm.rowRegion,MATCH(AF190,_xlpm.colSite,0),
_xlpm.rowUser,MATCH("Maximum Simultaneously Active Users per Site",_xlfn.DROP(_xlpm.colSite,_xlpm.rowRegion),0),
INDEX(_xlpm.colData,_xlpm.rowRegion+_xlpm.rowUser))</f>
        <v>1500</v>
      </c>
      <c r="AM190" s="124">
        <f>_xlfn.LET(
    _xlpm.data, 'Base Stations Profiles'!$B:$AJ,
    _xlpm.colSite, INDEX(_xlpm.data,,1),
    _xlpm.colauto, INDEX(_xlpm.data,,3),
    _xlpm.colData, INDEX(_xlpm.data,,2),
    _xlpm.rowRegion, MATCH(AF190, _xlpm.colSite, 0),
    _xlpm.rowThroughput, MATCH("Maximum Throughput for Downlink per Site", _xlfn.DROP(_xlpm.colSite, _xlpm.rowRegion), 0),
    IF(INDEX(_xlpm.colauto, _xlpm.rowRegion + _xlpm.rowThroughput)='Model Configurator Sup'!$M$4,VLOOKUP(AF190,'Base Stations Parameters'!$B:$AI,4,0),INDEX(_xlpm.colData, _xlpm.rowRegion + _xlpm.rowThroughput))
)</f>
        <v>2000</v>
      </c>
      <c r="AN190" s="106">
        <f ca="1">IF($AK190&lt;=0,0,AI190/(AL190*$AK190))</f>
        <v>0.25377777777777777</v>
      </c>
      <c r="AO190" s="106">
        <f ca="1">IF($AK190&lt;=0,0,AJ190/(AM190*$AK190))</f>
        <v>4.0792332623192123E-2</v>
      </c>
      <c r="AP190" s="130">
        <f>VLOOKUP(AF190,'Base Stations Parameters'!$B:$AH,3,0)</f>
        <v>95000</v>
      </c>
      <c r="AQ190">
        <f ca="1">ROUNDUP(MAX(AI190/AL190-AK190,AJ190/AM190-AK190,0),0)</f>
        <v>0</v>
      </c>
      <c r="AR190" s="130">
        <f ca="1">AQ190*AP190</f>
        <v>0</v>
      </c>
    </row>
    <row r="191" spans="2:44" ht="15.75" customHeight="1" thickBot="1" x14ac:dyDescent="0.3">
      <c r="B191" s="69" t="s">
        <v>172</v>
      </c>
      <c r="D191" s="125">
        <v>0.05</v>
      </c>
      <c r="E191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)*D191,0)</f>
        <v>6742</v>
      </c>
      <c r="F191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)*D191</f>
        <v>2045.4667443737319</v>
      </c>
      <c r="G191" s="105">
        <f>INDEX('Sites per Region'!$A:$Z, MATCH(B191,'Sites per Region'!$B:$B,0), MATCH(C$180,'Sites per Region'!$8:$8, 0))</f>
        <v>36</v>
      </c>
      <c r="H191" s="105">
        <f>_xlfn.LET(
_xlpm.data,'Base Stations Profiles'!$B:$E,
_xlpm.colSite,INDEX(_xlpm.data,,1),
_xlpm.colData,INDEX(_xlpm.data,,2),
_xlpm.rowRegion,MATCH(B191,_xlpm.colSite,0),
_xlpm.rowUser,MATCH("Maximum Simultaneously Active Users per Site",_xlfn.DROP(_xlpm.colSite,_xlpm.rowRegion),0),
INDEX(_xlpm.colData,_xlpm.rowRegion+_xlpm.rowUser))</f>
        <v>1500</v>
      </c>
      <c r="I191" s="124">
        <f>_xlfn.LET(
    _xlpm.data, 'Base Stations Profiles'!$B:$F,
    _xlpm.colSite, INDEX(_xlpm.data,,1),
    _xlpm.colauto, INDEX(_xlpm.data,,3),
    _xlpm.colData, INDEX(_xlpm.data,,2),
    _xlpm.rowRegion, MATCH(B191, _xlpm.colSite, 0),
    _xlpm.rowThroughput, MATCH("Maximum Throughput for Downlink per Site", _xlfn.DROP(_xlpm.colSite, _xlpm.rowRegion), 0),
    IF(INDEX(_xlpm.colauto, _xlpm.rowRegion + _xlpm.rowThroughput)='Model Configurator Sup'!$M$4,VLOOKUP(B191,'Base Stations Parameters'!$B:$E,4,0),INDEX(_xlpm.colData, _xlpm.rowRegion + _xlpm.rowThroughput))
)</f>
        <v>2000</v>
      </c>
      <c r="J191" s="106">
        <f ca="1">IF($G191&lt;=0,0,E191/(H191*$G191))</f>
        <v>0.12485185185185185</v>
      </c>
      <c r="K191" s="106">
        <f ca="1">IF($G191&lt;=0,0,F191/(I191*$G191))</f>
        <v>2.8409260338524055E-2</v>
      </c>
      <c r="L191" s="130">
        <f>VLOOKUP(B191,'Base Stations Parameters'!$B:$D,3,0)</f>
        <v>80000</v>
      </c>
      <c r="M191">
        <f ca="1">ROUNDUP(MAX(E191/H191-G191,F191/I191-G191,0),0)</f>
        <v>0</v>
      </c>
      <c r="N191" s="130">
        <f ca="1">M191*L191</f>
        <v>0</v>
      </c>
      <c r="Q191" s="69" t="s">
        <v>172</v>
      </c>
      <c r="S191" s="125">
        <v>0.05</v>
      </c>
      <c r="T191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)*S191,0)</f>
        <v>8099</v>
      </c>
      <c r="U191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)*S191</f>
        <v>691.10005792499669</v>
      </c>
      <c r="V191" s="105">
        <f>INDEX('Sites per Region'!$A:$AO, MATCH(Q191,'Sites per Region'!$B:$B,0), MATCH(R$180,'Sites per Region'!$8:$8, 0))</f>
        <v>36</v>
      </c>
      <c r="W191" s="105">
        <f>_xlfn.LET(
_xlpm.data,'Base Stations Profiles'!$B:$T,
_xlpm.colSite,INDEX(_xlpm.data,,1),
_xlpm.colData,INDEX(_xlpm.data,,2),
_xlpm.rowRegion,MATCH(Q191,_xlpm.colSite,0),
_xlpm.rowUser,MATCH("Maximum Simultaneously Active Users per Site",_xlfn.DROP(_xlpm.colSite,_xlpm.rowRegion),0),
INDEX(_xlpm.colData,_xlpm.rowRegion+_xlpm.rowUser))</f>
        <v>1500</v>
      </c>
      <c r="X191" s="124">
        <f>_xlfn.LET(
    _xlpm.data, 'Base Stations Profiles'!$B:$U,
    _xlpm.colSite, INDEX(_xlpm.data,,1),
    _xlpm.colauto, INDEX(_xlpm.data,,3),
    _xlpm.colData, INDEX(_xlpm.data,,2),
    _xlpm.rowRegion, MATCH(Q191, _xlpm.colSite, 0),
    _xlpm.rowThroughput, MATCH("Maximum Throughput for Downlink per Site", _xlfn.DROP(_xlpm.colSite, _xlpm.rowRegion), 0),
    IF(INDEX(_xlpm.colauto, _xlpm.rowRegion + _xlpm.rowThroughput)='Model Configurator Sup'!$M$4,VLOOKUP(Q191,'Base Stations Parameters'!$B:$T,4,0),INDEX(_xlpm.colData, _xlpm.rowRegion + _xlpm.rowThroughput))
)</f>
        <v>2000</v>
      </c>
      <c r="Y191" s="106">
        <f ca="1">IF($V191&lt;=0,0,T191/(W191*$V191))</f>
        <v>0.14998148148148149</v>
      </c>
      <c r="Z191" s="106">
        <f ca="1">IF($V191&lt;=0,0,U191/(X191*$V191))</f>
        <v>9.5986119156249543E-3</v>
      </c>
      <c r="AA191" s="130">
        <f>VLOOKUP(Q191,'Base Stations Parameters'!$B:$S,3,0)</f>
        <v>80000</v>
      </c>
      <c r="AB191">
        <f ca="1">ROUNDUP(MAX(T191/W191-V191,U191/X191-V191,0),0)</f>
        <v>0</v>
      </c>
      <c r="AC191" s="130">
        <f ca="1">AB191*AA191</f>
        <v>0</v>
      </c>
      <c r="AF191" s="69" t="s">
        <v>172</v>
      </c>
      <c r="AH191" s="125">
        <v>0.05</v>
      </c>
      <c r="AI191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)*AH191,0)</f>
        <v>13704</v>
      </c>
      <c r="AJ191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)*AH191</f>
        <v>2937.0479488698329</v>
      </c>
      <c r="AK191" s="105">
        <f>INDEX('Sites per Region'!$A:$BD, MATCH(AF191,'Sites per Region'!$B:$B,0), MATCH(AG$180,'Sites per Region'!$8:$8, 0))</f>
        <v>36</v>
      </c>
      <c r="AL191" s="105">
        <f>_xlfn.LET(
_xlpm.data,'Base Stations Profiles'!$B:$AI,
_xlpm.colSite,INDEX(_xlpm.data,,1),
_xlpm.colData,INDEX(_xlpm.data,,2),
_xlpm.rowRegion,MATCH(AF191,_xlpm.colSite,0),
_xlpm.rowUser,MATCH("Maximum Simultaneously Active Users per Site",_xlfn.DROP(_xlpm.colSite,_xlpm.rowRegion),0),
INDEX(_xlpm.colData,_xlpm.rowRegion+_xlpm.rowUser))</f>
        <v>1500</v>
      </c>
      <c r="AM191" s="124">
        <f>_xlfn.LET(
    _xlpm.data, 'Base Stations Profiles'!$B:$AJ,
    _xlpm.colSite, INDEX(_xlpm.data,,1),
    _xlpm.colauto, INDEX(_xlpm.data,,3),
    _xlpm.colData, INDEX(_xlpm.data,,2),
    _xlpm.rowRegion, MATCH(AF191, _xlpm.colSite, 0),
    _xlpm.rowThroughput, MATCH("Maximum Throughput for Downlink per Site", _xlfn.DROP(_xlpm.colSite, _xlpm.rowRegion), 0),
    IF(INDEX(_xlpm.colauto, _xlpm.rowRegion + _xlpm.rowThroughput)='Model Configurator Sup'!$M$4,VLOOKUP(AF191,'Base Stations Parameters'!$B:$AI,4,0),INDEX(_xlpm.colData, _xlpm.rowRegion + _xlpm.rowThroughput))
)</f>
        <v>2000</v>
      </c>
      <c r="AN191" s="106">
        <f ca="1">IF($AK191&lt;=0,0,AI191/(AL191*$AK191))</f>
        <v>0.25377777777777777</v>
      </c>
      <c r="AO191" s="106">
        <f ca="1">IF($AK191&lt;=0,0,AJ191/(AM191*$AK191))</f>
        <v>4.0792332623192123E-2</v>
      </c>
      <c r="AP191" s="130">
        <f>VLOOKUP(AF191,'Base Stations Parameters'!$B:$AH,3,0)</f>
        <v>80000</v>
      </c>
      <c r="AQ191">
        <f ca="1">ROUNDUP(MAX(AI191/AL191-AK191,AJ191/AM191-AK191,0),0)</f>
        <v>0</v>
      </c>
      <c r="AR191" s="130">
        <f ca="1">AQ191*AP191</f>
        <v>0</v>
      </c>
    </row>
    <row r="192" spans="2:44" ht="15.75" customHeight="1" thickBot="1" x14ac:dyDescent="0.3">
      <c r="B192" s="69" t="s">
        <v>249</v>
      </c>
      <c r="D192" s="125">
        <v>0.05</v>
      </c>
      <c r="E192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)*D192,0)</f>
        <v>6742</v>
      </c>
      <c r="F192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)*D192</f>
        <v>2045.4667443737319</v>
      </c>
      <c r="G192" s="105">
        <f>INDEX('Sites per Region'!$A:$Z, MATCH(B192,'Sites per Region'!$B:$B,0), MATCH(C$180,'Sites per Region'!$8:$8, 0))</f>
        <v>35</v>
      </c>
      <c r="H192" s="105">
        <f>_xlfn.LET(
_xlpm.data,'Base Stations Profiles'!$B:$E,
_xlpm.colSite,INDEX(_xlpm.data,,1),
_xlpm.colData,INDEX(_xlpm.data,,2),
_xlpm.rowRegion,MATCH(B192,_xlpm.colSite,0),
_xlpm.rowUser,MATCH("Maximum Simultaneously Active Users per Site",_xlfn.DROP(_xlpm.colSite,_xlpm.rowRegion),0),
INDEX(_xlpm.colData,_xlpm.rowRegion+_xlpm.rowUser))</f>
        <v>800</v>
      </c>
      <c r="I192" s="124">
        <f>_xlfn.LET(
    _xlpm.data, 'Base Stations Profiles'!$B:$F,
    _xlpm.colSite, INDEX(_xlpm.data,,1),
    _xlpm.colauto, INDEX(_xlpm.data,,3),
    _xlpm.colData, INDEX(_xlpm.data,,2),
    _xlpm.rowRegion, MATCH(B192, _xlpm.colSite, 0),
    _xlpm.rowThroughput, MATCH("Maximum Throughput for Downlink per Site", _xlfn.DROP(_xlpm.colSite, _xlpm.rowRegion), 0),
    IF(INDEX(_xlpm.colauto, _xlpm.rowRegion + _xlpm.rowThroughput)='Model Configurator Sup'!$M$4,VLOOKUP(B192,'Base Stations Parameters'!$B:$E,4,0),INDEX(_xlpm.colData, _xlpm.rowRegion + _xlpm.rowThroughput))
)</f>
        <v>1200</v>
      </c>
      <c r="J192" s="106">
        <f ca="1">IF($G192&lt;=0,0,E192/(H192*$G192))</f>
        <v>0.2407857142857143</v>
      </c>
      <c r="K192" s="106">
        <f ca="1">IF($G192&lt;=0,0,F192/(I192*$G192))</f>
        <v>4.8701589151755521E-2</v>
      </c>
      <c r="L192" s="130">
        <f>VLOOKUP(B192,'Base Stations Parameters'!$B:$D,3,0)</f>
        <v>80000</v>
      </c>
      <c r="M192">
        <f ca="1">ROUNDUP(MAX(E192/H192-G192,F192/I192-G192,0),0)</f>
        <v>0</v>
      </c>
      <c r="N192" s="130">
        <f ca="1">M192*L192</f>
        <v>0</v>
      </c>
      <c r="Q192" s="69" t="s">
        <v>249</v>
      </c>
      <c r="S192" s="125">
        <v>0.05</v>
      </c>
      <c r="T192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)*S192,0)</f>
        <v>8099</v>
      </c>
      <c r="U192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)*S192</f>
        <v>691.10005792499669</v>
      </c>
      <c r="V192" s="105">
        <f>INDEX('Sites per Region'!$A:$AO, MATCH(Q192,'Sites per Region'!$B:$B,0), MATCH(R$180,'Sites per Region'!$8:$8, 0))</f>
        <v>35</v>
      </c>
      <c r="W192" s="105">
        <f>_xlfn.LET(
_xlpm.data,'Base Stations Profiles'!$B:$T,
_xlpm.colSite,INDEX(_xlpm.data,,1),
_xlpm.colData,INDEX(_xlpm.data,,2),
_xlpm.rowRegion,MATCH(Q192,_xlpm.colSite,0),
_xlpm.rowUser,MATCH("Maximum Simultaneously Active Users per Site",_xlfn.DROP(_xlpm.colSite,_xlpm.rowRegion),0),
INDEX(_xlpm.colData,_xlpm.rowRegion+_xlpm.rowUser))</f>
        <v>800</v>
      </c>
      <c r="X192" s="124">
        <f>_xlfn.LET(
    _xlpm.data, 'Base Stations Profiles'!$B:$U,
    _xlpm.colSite, INDEX(_xlpm.data,,1),
    _xlpm.colauto, INDEX(_xlpm.data,,3),
    _xlpm.colData, INDEX(_xlpm.data,,2),
    _xlpm.rowRegion, MATCH(Q192, _xlpm.colSite, 0),
    _xlpm.rowThroughput, MATCH("Maximum Throughput for Downlink per Site", _xlfn.DROP(_xlpm.colSite, _xlpm.rowRegion), 0),
    IF(INDEX(_xlpm.colauto, _xlpm.rowRegion + _xlpm.rowThroughput)='Model Configurator Sup'!$M$4,VLOOKUP(Q192,'Base Stations Parameters'!$B:$T,4,0),INDEX(_xlpm.colData, _xlpm.rowRegion + _xlpm.rowThroughput))
)</f>
        <v>1200</v>
      </c>
      <c r="Y192" s="106">
        <f ca="1">IF($V192&lt;=0,0,T192/(W192*$V192))</f>
        <v>0.28925000000000001</v>
      </c>
      <c r="Z192" s="106">
        <f ca="1">IF($V192&lt;=0,0,U192/(X192*$V192))</f>
        <v>1.6454763283928493E-2</v>
      </c>
      <c r="AA192" s="130">
        <f>VLOOKUP(Q192,'Base Stations Parameters'!$B:$S,3,0)</f>
        <v>80000</v>
      </c>
      <c r="AB192">
        <f ca="1">ROUNDUP(MAX(T192/W192-V192,U192/X192-V192,0),0)</f>
        <v>0</v>
      </c>
      <c r="AC192" s="130">
        <f ca="1">AB192*AA192</f>
        <v>0</v>
      </c>
      <c r="AF192" s="69" t="s">
        <v>249</v>
      </c>
      <c r="AH192" s="125">
        <v>0.05</v>
      </c>
      <c r="AI192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)*AH192,0)</f>
        <v>13704</v>
      </c>
      <c r="AJ192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)*AH192</f>
        <v>2937.0479488698329</v>
      </c>
      <c r="AK192" s="105">
        <f>INDEX('Sites per Region'!$A:$BD, MATCH(AF192,'Sites per Region'!$B:$B,0), MATCH(AG$180,'Sites per Region'!$8:$8, 0))</f>
        <v>35</v>
      </c>
      <c r="AL192" s="105">
        <f>_xlfn.LET(
_xlpm.data,'Base Stations Profiles'!$B:$AI,
_xlpm.colSite,INDEX(_xlpm.data,,1),
_xlpm.colData,INDEX(_xlpm.data,,2),
_xlpm.rowRegion,MATCH(AF192,_xlpm.colSite,0),
_xlpm.rowUser,MATCH("Maximum Simultaneously Active Users per Site",_xlfn.DROP(_xlpm.colSite,_xlpm.rowRegion),0),
INDEX(_xlpm.colData,_xlpm.rowRegion+_xlpm.rowUser))</f>
        <v>800</v>
      </c>
      <c r="AM192" s="124">
        <f>_xlfn.LET(
    _xlpm.data, 'Base Stations Profiles'!$B:$AJ,
    _xlpm.colSite, INDEX(_xlpm.data,,1),
    _xlpm.colauto, INDEX(_xlpm.data,,3),
    _xlpm.colData, INDEX(_xlpm.data,,2),
    _xlpm.rowRegion, MATCH(AF192, _xlpm.colSite, 0),
    _xlpm.rowThroughput, MATCH("Maximum Throughput for Downlink per Site", _xlfn.DROP(_xlpm.colSite, _xlpm.rowRegion), 0),
    IF(INDEX(_xlpm.colauto, _xlpm.rowRegion + _xlpm.rowThroughput)='Model Configurator Sup'!$M$4,VLOOKUP(AF192,'Base Stations Parameters'!$B:$AI,4,0),INDEX(_xlpm.colData, _xlpm.rowRegion + _xlpm.rowThroughput))
)</f>
        <v>1200</v>
      </c>
      <c r="AN192" s="106">
        <f ca="1">IF($AK192&lt;=0,0,AI192/(AL192*$AK192))</f>
        <v>0.48942857142857144</v>
      </c>
      <c r="AO192" s="106">
        <f ca="1">IF($AK192&lt;=0,0,AJ192/(AM192*$AK192))</f>
        <v>6.9929713068329361E-2</v>
      </c>
      <c r="AP192" s="130">
        <f>VLOOKUP(AF192,'Base Stations Parameters'!$B:$AH,3,0)</f>
        <v>80000</v>
      </c>
      <c r="AQ192">
        <f ca="1">ROUNDUP(MAX(AI192/AL192-AK192,AJ192/AM192-AK192,0),0)</f>
        <v>0</v>
      </c>
      <c r="AR192" s="130">
        <f ca="1">AQ192*AP192</f>
        <v>0</v>
      </c>
    </row>
    <row r="193" spans="2:44" ht="15.75" customHeight="1" thickBot="1" x14ac:dyDescent="0.3">
      <c r="B193" s="69" t="s">
        <v>173</v>
      </c>
      <c r="D193" s="125">
        <v>0.05</v>
      </c>
      <c r="E193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)*D193,0)</f>
        <v>6742</v>
      </c>
      <c r="F193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)*D193</f>
        <v>2045.4667443737319</v>
      </c>
      <c r="G193" s="105">
        <f>INDEX('Sites per Region'!$A:$Z, MATCH(B193,'Sites per Region'!$B:$B,0), MATCH(C$180,'Sites per Region'!$8:$8, 0))</f>
        <v>35</v>
      </c>
      <c r="H193" s="105">
        <f>_xlfn.LET(
_xlpm.data,'Base Stations Profiles'!$B:$E,
_xlpm.colSite,INDEX(_xlpm.data,,1),
_xlpm.colData,INDEX(_xlpm.data,,2),
_xlpm.rowRegion,MATCH(B193,_xlpm.colSite,0),
_xlpm.rowUser,MATCH("Maximum Simultaneously Active Users per Site",_xlfn.DROP(_xlpm.colSite,_xlpm.rowRegion),0),
INDEX(_xlpm.colData,_xlpm.rowRegion+_xlpm.rowUser))</f>
        <v>800</v>
      </c>
      <c r="I193" s="124">
        <f>_xlfn.LET(
    _xlpm.data, 'Base Stations Profiles'!$B:$F,
    _xlpm.colSite, INDEX(_xlpm.data,,1),
    _xlpm.colauto, INDEX(_xlpm.data,,3),
    _xlpm.colData, INDEX(_xlpm.data,,2),
    _xlpm.rowRegion, MATCH(B193, _xlpm.colSite, 0),
    _xlpm.rowThroughput, MATCH("Maximum Throughput for Downlink per Site", _xlfn.DROP(_xlpm.colSite, _xlpm.rowRegion), 0),
    IF(INDEX(_xlpm.colauto, _xlpm.rowRegion + _xlpm.rowThroughput)='Model Configurator Sup'!$M$4,VLOOKUP(B193,'Base Stations Parameters'!$B:$E,4,0),INDEX(_xlpm.colData, _xlpm.rowRegion + _xlpm.rowThroughput))
)</f>
        <v>1200</v>
      </c>
      <c r="J193" s="106">
        <f ca="1">IF($G193&lt;=0,0,E193/(H193*$G193))</f>
        <v>0.2407857142857143</v>
      </c>
      <c r="K193" s="106">
        <f ca="1">IF($G193&lt;=0,0,F193/(I193*$G193))</f>
        <v>4.8701589151755521E-2</v>
      </c>
      <c r="L193" s="130">
        <f>VLOOKUP(B193,'Base Stations Parameters'!$B:$D,3,0)</f>
        <v>60000</v>
      </c>
      <c r="M193">
        <f ca="1">ROUNDUP(MAX(E193/H193-G193,F193/I193-G193,0),0)</f>
        <v>0</v>
      </c>
      <c r="N193" s="130">
        <f ca="1">M193*L193</f>
        <v>0</v>
      </c>
      <c r="Q193" s="69" t="s">
        <v>173</v>
      </c>
      <c r="S193" s="125">
        <v>0.05</v>
      </c>
      <c r="T193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)*S193,0)</f>
        <v>8099</v>
      </c>
      <c r="U193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)*S193</f>
        <v>691.10005792499669</v>
      </c>
      <c r="V193" s="105">
        <f>INDEX('Sites per Region'!$A:$AO, MATCH(Q193,'Sites per Region'!$B:$B,0), MATCH(R$180,'Sites per Region'!$8:$8, 0))</f>
        <v>35</v>
      </c>
      <c r="W193" s="105">
        <f>_xlfn.LET(
_xlpm.data,'Base Stations Profiles'!$B:$T,
_xlpm.colSite,INDEX(_xlpm.data,,1),
_xlpm.colData,INDEX(_xlpm.data,,2),
_xlpm.rowRegion,MATCH(Q193,_xlpm.colSite,0),
_xlpm.rowUser,MATCH("Maximum Simultaneously Active Users per Site",_xlfn.DROP(_xlpm.colSite,_xlpm.rowRegion),0),
INDEX(_xlpm.colData,_xlpm.rowRegion+_xlpm.rowUser))</f>
        <v>800</v>
      </c>
      <c r="X193" s="124">
        <f>_xlfn.LET(
    _xlpm.data, 'Base Stations Profiles'!$B:$U,
    _xlpm.colSite, INDEX(_xlpm.data,,1),
    _xlpm.colauto, INDEX(_xlpm.data,,3),
    _xlpm.colData, INDEX(_xlpm.data,,2),
    _xlpm.rowRegion, MATCH(Q193, _xlpm.colSite, 0),
    _xlpm.rowThroughput, MATCH("Maximum Throughput for Downlink per Site", _xlfn.DROP(_xlpm.colSite, _xlpm.rowRegion), 0),
    IF(INDEX(_xlpm.colauto, _xlpm.rowRegion + _xlpm.rowThroughput)='Model Configurator Sup'!$M$4,VLOOKUP(Q193,'Base Stations Parameters'!$B:$T,4,0),INDEX(_xlpm.colData, _xlpm.rowRegion + _xlpm.rowThroughput))
)</f>
        <v>1200</v>
      </c>
      <c r="Y193" s="106">
        <f ca="1">IF($V193&lt;=0,0,T193/(W193*$V193))</f>
        <v>0.28925000000000001</v>
      </c>
      <c r="Z193" s="106">
        <f ca="1">IF($V193&lt;=0,0,U193/(X193*$V193))</f>
        <v>1.6454763283928493E-2</v>
      </c>
      <c r="AA193" s="130">
        <f>VLOOKUP(Q193,'Base Stations Parameters'!$B:$S,3,0)</f>
        <v>60000</v>
      </c>
      <c r="AB193">
        <f ca="1">ROUNDUP(MAX(T193/W193-V193,U193/X193-V193,0),0)</f>
        <v>0</v>
      </c>
      <c r="AC193" s="130">
        <f ca="1">AB193*AA193</f>
        <v>0</v>
      </c>
      <c r="AF193" s="69" t="s">
        <v>173</v>
      </c>
      <c r="AH193" s="125">
        <v>0.05</v>
      </c>
      <c r="AI193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)*AH193,0)</f>
        <v>13704</v>
      </c>
      <c r="AJ193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)*AH193</f>
        <v>2937.0479488698329</v>
      </c>
      <c r="AK193" s="105">
        <f>INDEX('Sites per Region'!$A:$BD, MATCH(AF193,'Sites per Region'!$B:$B,0), MATCH(AG$180,'Sites per Region'!$8:$8, 0))</f>
        <v>35</v>
      </c>
      <c r="AL193" s="105">
        <f>_xlfn.LET(
_xlpm.data,'Base Stations Profiles'!$B:$AI,
_xlpm.colSite,INDEX(_xlpm.data,,1),
_xlpm.colData,INDEX(_xlpm.data,,2),
_xlpm.rowRegion,MATCH(AF193,_xlpm.colSite,0),
_xlpm.rowUser,MATCH("Maximum Simultaneously Active Users per Site",_xlfn.DROP(_xlpm.colSite,_xlpm.rowRegion),0),
INDEX(_xlpm.colData,_xlpm.rowRegion+_xlpm.rowUser))</f>
        <v>800</v>
      </c>
      <c r="AM193" s="124">
        <f>_xlfn.LET(
    _xlpm.data, 'Base Stations Profiles'!$B:$AJ,
    _xlpm.colSite, INDEX(_xlpm.data,,1),
    _xlpm.colauto, INDEX(_xlpm.data,,3),
    _xlpm.colData, INDEX(_xlpm.data,,2),
    _xlpm.rowRegion, MATCH(AF193, _xlpm.colSite, 0),
    _xlpm.rowThroughput, MATCH("Maximum Throughput for Downlink per Site", _xlfn.DROP(_xlpm.colSite, _xlpm.rowRegion), 0),
    IF(INDEX(_xlpm.colauto, _xlpm.rowRegion + _xlpm.rowThroughput)='Model Configurator Sup'!$M$4,VLOOKUP(AF193,'Base Stations Parameters'!$B:$AI,4,0),INDEX(_xlpm.colData, _xlpm.rowRegion + _xlpm.rowThroughput))
)</f>
        <v>1200</v>
      </c>
      <c r="AN193" s="106">
        <f ca="1">IF($AK193&lt;=0,0,AI193/(AL193*$AK193))</f>
        <v>0.48942857142857144</v>
      </c>
      <c r="AO193" s="106">
        <f ca="1">IF($AK193&lt;=0,0,AJ193/(AM193*$AK193))</f>
        <v>6.9929713068329361E-2</v>
      </c>
      <c r="AP193" s="130">
        <f>VLOOKUP(AF193,'Base Stations Parameters'!$B:$AH,3,0)</f>
        <v>60000</v>
      </c>
      <c r="AQ193">
        <f ca="1">ROUNDUP(MAX(AI193/AL193-AK193,AJ193/AM193-AK193,0),0)</f>
        <v>0</v>
      </c>
      <c r="AR193" s="130">
        <f ca="1">AQ193*AP193</f>
        <v>0</v>
      </c>
    </row>
    <row r="194" spans="2:44" ht="15.75" customHeight="1" thickBot="1" x14ac:dyDescent="0.3">
      <c r="B194" s="69" t="s">
        <v>250</v>
      </c>
      <c r="D194" s="125">
        <v>2.5000000000000001E-2</v>
      </c>
      <c r="E194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)*D194,0)</f>
        <v>3371</v>
      </c>
      <c r="F194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)*D194</f>
        <v>1022.7333721868659</v>
      </c>
      <c r="G194" s="105">
        <f>INDEX('Sites per Region'!$A:$Z, MATCH(B194,'Sites per Region'!$B:$B,0), MATCH(C$180,'Sites per Region'!$8:$8, 0))</f>
        <v>39.5</v>
      </c>
      <c r="H194" s="105">
        <f>_xlfn.LET(
_xlpm.data,'Base Stations Profiles'!$B:$E,
_xlpm.colSite,INDEX(_xlpm.data,,1),
_xlpm.colData,INDEX(_xlpm.data,,2),
_xlpm.rowRegion,MATCH(B194,_xlpm.colSite,0),
_xlpm.rowUser,MATCH("Maximum Simultaneously Active Users per Site",_xlfn.DROP(_xlpm.colSite,_xlpm.rowRegion),0),
INDEX(_xlpm.colData,_xlpm.rowRegion+_xlpm.rowUser))</f>
        <v>400</v>
      </c>
      <c r="I194" s="124">
        <f>_xlfn.LET(
    _xlpm.data, 'Base Stations Profiles'!$B:$F,
    _xlpm.colSite, INDEX(_xlpm.data,,1),
    _xlpm.colauto, INDEX(_xlpm.data,,3),
    _xlpm.colData, INDEX(_xlpm.data,,2),
    _xlpm.rowRegion, MATCH(B194, _xlpm.colSite, 0),
    _xlpm.rowThroughput, MATCH("Maximum Throughput for Downlink per Site", _xlfn.DROP(_xlpm.colSite, _xlpm.rowRegion), 0),
    IF(INDEX(_xlpm.colauto, _xlpm.rowRegion + _xlpm.rowThroughput)='Model Configurator Sup'!$M$4,VLOOKUP(B194,'Base Stations Parameters'!$B:$E,4,0),INDEX(_xlpm.colData, _xlpm.rowRegion + _xlpm.rowThroughput))
)</f>
        <v>300</v>
      </c>
      <c r="J194" s="106">
        <f ca="1">IF($G194&lt;=0,0,E194/(H194*$G194))</f>
        <v>0.21335443037974683</v>
      </c>
      <c r="K194" s="106">
        <f ca="1">IF($G194&lt;=0,0,F194/(I194*$G194))</f>
        <v>8.6306613686655348E-2</v>
      </c>
      <c r="L194" s="130">
        <f>VLOOKUP(B194,'Base Stations Parameters'!$B:$D,3,0)</f>
        <v>60000</v>
      </c>
      <c r="M194">
        <f ca="1">ROUNDUP(MAX(E194/H194-G194,F194/I194-G194,0),0)</f>
        <v>0</v>
      </c>
      <c r="N194" s="130">
        <f ca="1">M194*L194</f>
        <v>0</v>
      </c>
      <c r="Q194" s="69" t="s">
        <v>250</v>
      </c>
      <c r="S194" s="125">
        <v>2.5000000000000001E-2</v>
      </c>
      <c r="T194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)*S194,0)</f>
        <v>4049</v>
      </c>
      <c r="U194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)*S194</f>
        <v>345.55002896249835</v>
      </c>
      <c r="V194" s="105">
        <f>INDEX('Sites per Region'!$A:$AO, MATCH(Q194,'Sites per Region'!$B:$B,0), MATCH(R$180,'Sites per Region'!$8:$8, 0))</f>
        <v>39.5</v>
      </c>
      <c r="W194" s="105">
        <f>_xlfn.LET(
_xlpm.data,'Base Stations Profiles'!$B:$T,
_xlpm.colSite,INDEX(_xlpm.data,,1),
_xlpm.colData,INDEX(_xlpm.data,,2),
_xlpm.rowRegion,MATCH(Q194,_xlpm.colSite,0),
_xlpm.rowUser,MATCH("Maximum Simultaneously Active Users per Site",_xlfn.DROP(_xlpm.colSite,_xlpm.rowRegion),0),
INDEX(_xlpm.colData,_xlpm.rowRegion+_xlpm.rowUser))</f>
        <v>400</v>
      </c>
      <c r="X194" s="124">
        <f>_xlfn.LET(
    _xlpm.data, 'Base Stations Profiles'!$B:$U,
    _xlpm.colSite, INDEX(_xlpm.data,,1),
    _xlpm.colauto, INDEX(_xlpm.data,,3),
    _xlpm.colData, INDEX(_xlpm.data,,2),
    _xlpm.rowRegion, MATCH(Q194, _xlpm.colSite, 0),
    _xlpm.rowThroughput, MATCH("Maximum Throughput for Downlink per Site", _xlfn.DROP(_xlpm.colSite, _xlpm.rowRegion), 0),
    IF(INDEX(_xlpm.colauto, _xlpm.rowRegion + _xlpm.rowThroughput)='Model Configurator Sup'!$M$4,VLOOKUP(Q194,'Base Stations Parameters'!$B:$T,4,0),INDEX(_xlpm.colData, _xlpm.rowRegion + _xlpm.rowThroughput))
)</f>
        <v>300</v>
      </c>
      <c r="Y194" s="106">
        <f ca="1">IF($V194&lt;=0,0,T194/(W194*$V194))</f>
        <v>0.25626582278481014</v>
      </c>
      <c r="Z194" s="106">
        <f ca="1">IF($V194&lt;=0,0,U194/(X194*$V194))</f>
        <v>2.9160339996835302E-2</v>
      </c>
      <c r="AA194" s="130">
        <f>VLOOKUP(Q194,'Base Stations Parameters'!$B:$S,3,0)</f>
        <v>60000</v>
      </c>
      <c r="AB194">
        <f ca="1">ROUNDUP(MAX(T194/W194-V194,U194/X194-V194,0),0)</f>
        <v>0</v>
      </c>
      <c r="AC194" s="130">
        <f ca="1">AB194*AA194</f>
        <v>0</v>
      </c>
      <c r="AF194" s="69" t="s">
        <v>250</v>
      </c>
      <c r="AH194" s="125">
        <v>2.5000000000000001E-2</v>
      </c>
      <c r="AI194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)*AH194,0)</f>
        <v>6852</v>
      </c>
      <c r="AJ194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)*AH194</f>
        <v>1468.5239744349165</v>
      </c>
      <c r="AK194" s="105">
        <f>INDEX('Sites per Region'!$A:$BD, MATCH(AF194,'Sites per Region'!$B:$B,0), MATCH(AG$180,'Sites per Region'!$8:$8, 0))</f>
        <v>39.5</v>
      </c>
      <c r="AL194" s="105">
        <f>_xlfn.LET(
_xlpm.data,'Base Stations Profiles'!$B:$AI,
_xlpm.colSite,INDEX(_xlpm.data,,1),
_xlpm.colData,INDEX(_xlpm.data,,2),
_xlpm.rowRegion,MATCH(AF194,_xlpm.colSite,0),
_xlpm.rowUser,MATCH("Maximum Simultaneously Active Users per Site",_xlfn.DROP(_xlpm.colSite,_xlpm.rowRegion),0),
INDEX(_xlpm.colData,_xlpm.rowRegion+_xlpm.rowUser))</f>
        <v>400</v>
      </c>
      <c r="AM194" s="124">
        <f>_xlfn.LET(
    _xlpm.data, 'Base Stations Profiles'!$B:$AJ,
    _xlpm.colSite, INDEX(_xlpm.data,,1),
    _xlpm.colauto, INDEX(_xlpm.data,,3),
    _xlpm.colData, INDEX(_xlpm.data,,2),
    _xlpm.rowRegion, MATCH(AF194, _xlpm.colSite, 0),
    _xlpm.rowThroughput, MATCH("Maximum Throughput for Downlink per Site", _xlfn.DROP(_xlpm.colSite, _xlpm.rowRegion), 0),
    IF(INDEX(_xlpm.colauto, _xlpm.rowRegion + _xlpm.rowThroughput)='Model Configurator Sup'!$M$4,VLOOKUP(AF194,'Base Stations Parameters'!$B:$AI,4,0),INDEX(_xlpm.colData, _xlpm.rowRegion + _xlpm.rowThroughput))
)</f>
        <v>300</v>
      </c>
      <c r="AN194" s="106">
        <f ca="1">IF($AK194&lt;=0,0,AI194/(AL194*$AK194))</f>
        <v>0.43367088607594939</v>
      </c>
      <c r="AO194" s="106">
        <f ca="1">IF($AK194&lt;=0,0,AJ194/(AM194*$AK194))</f>
        <v>0.12392607379197607</v>
      </c>
      <c r="AP194" s="130">
        <f>VLOOKUP(AF194,'Base Stations Parameters'!$B:$AH,3,0)</f>
        <v>60000</v>
      </c>
      <c r="AQ194">
        <f ca="1">ROUNDUP(MAX(AI194/AL194-AK194,AJ194/AM194-AK194,0),0)</f>
        <v>0</v>
      </c>
      <c r="AR194" s="130">
        <f ca="1">AQ194*AP194</f>
        <v>0</v>
      </c>
    </row>
    <row r="195" spans="2:44" ht="15.75" customHeight="1" thickBot="1" x14ac:dyDescent="0.3">
      <c r="B195" s="69" t="s">
        <v>174</v>
      </c>
      <c r="D195" s="125">
        <v>2.5000000000000001E-2</v>
      </c>
      <c r="E195" s="123">
        <f ca="1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)*D195,0)</f>
        <v>3371</v>
      </c>
      <c r="F195" s="122">
        <f ca="1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)*D195</f>
        <v>1022.7333721868659</v>
      </c>
      <c r="G195" s="105">
        <f>INDEX('Sites per Region'!$A:$Z, MATCH(B195,'Sites per Region'!$B:$B,0), MATCH(C$180,'Sites per Region'!$8:$8, 0))</f>
        <v>39.5</v>
      </c>
      <c r="H195" s="105">
        <f>_xlfn.LET(
_xlpm.data,'Base Stations Profiles'!$B:$E,
_xlpm.colSite,INDEX(_xlpm.data,,1),
_xlpm.colData,INDEX(_xlpm.data,,2),
_xlpm.rowRegion,MATCH(B195,_xlpm.colSite,0),
_xlpm.rowUser,MATCH("Maximum Simultaneously Active Users per Site",_xlfn.DROP(_xlpm.colSite,_xlpm.rowRegion),0),
INDEX(_xlpm.colData,_xlpm.rowRegion+_xlpm.rowUser))</f>
        <v>400</v>
      </c>
      <c r="I195" s="124">
        <f>_xlfn.LET(
    _xlpm.data, 'Base Stations Profiles'!$B:$F,
    _xlpm.colSite, INDEX(_xlpm.data,,1),
    _xlpm.colauto, INDEX(_xlpm.data,,3),
    _xlpm.colData, INDEX(_xlpm.data,,2),
    _xlpm.rowRegion, MATCH(B195, _xlpm.colSite, 0),
    _xlpm.rowThroughput, MATCH("Maximum Throughput for Downlink per Site", _xlfn.DROP(_xlpm.colSite, _xlpm.rowRegion), 0),
    IF(INDEX(_xlpm.colauto, _xlpm.rowRegion + _xlpm.rowThroughput)='Model Configurator Sup'!$M$4,VLOOKUP(B195,'Base Stations Parameters'!$B:$E,4,0),INDEX(_xlpm.colData, _xlpm.rowRegion + _xlpm.rowThroughput))
)</f>
        <v>300</v>
      </c>
      <c r="J195" s="106">
        <f ca="1">IF($G195&lt;=0,0,E195/(H195*$G195))</f>
        <v>0.21335443037974683</v>
      </c>
      <c r="K195" s="106">
        <f ca="1">IF($G195&lt;=0,0,F195/(I195*$G195))</f>
        <v>8.6306613686655348E-2</v>
      </c>
      <c r="L195" s="130">
        <f>VLOOKUP(B195,'Base Stations Parameters'!$B:$D,3,0)</f>
        <v>0</v>
      </c>
      <c r="M195">
        <f ca="1">ROUNDUP(MAX(E195/H195-G195,F195/I195-G195,0),0)</f>
        <v>0</v>
      </c>
      <c r="N195" s="130">
        <f ca="1">M195*L195</f>
        <v>0</v>
      </c>
      <c r="Q195" s="69" t="s">
        <v>174</v>
      </c>
      <c r="S195" s="125">
        <v>2.5000000000000001E-2</v>
      </c>
      <c r="T195" s="123">
        <f ca="1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)*S195,0)</f>
        <v>4049</v>
      </c>
      <c r="U195" s="122">
        <f ca="1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)*S195</f>
        <v>345.55002896249835</v>
      </c>
      <c r="V195" s="105">
        <f>INDEX('Sites per Region'!$A:$AO, MATCH(Q195,'Sites per Region'!$B:$B,0), MATCH(R$180,'Sites per Region'!$8:$8, 0))</f>
        <v>39.5</v>
      </c>
      <c r="W195" s="105">
        <f>_xlfn.LET(
_xlpm.data,'Base Stations Profiles'!$B:$T,
_xlpm.colSite,INDEX(_xlpm.data,,1),
_xlpm.colData,INDEX(_xlpm.data,,2),
_xlpm.rowRegion,MATCH(Q195,_xlpm.colSite,0),
_xlpm.rowUser,MATCH("Maximum Simultaneously Active Users per Site",_xlfn.DROP(_xlpm.colSite,_xlpm.rowRegion),0),
INDEX(_xlpm.colData,_xlpm.rowRegion+_xlpm.rowUser))</f>
        <v>400</v>
      </c>
      <c r="X195" s="124">
        <f>_xlfn.LET(
    _xlpm.data, 'Base Stations Profiles'!$B:$U,
    _xlpm.colSite, INDEX(_xlpm.data,,1),
    _xlpm.colauto, INDEX(_xlpm.data,,3),
    _xlpm.colData, INDEX(_xlpm.data,,2),
    _xlpm.rowRegion, MATCH(Q195, _xlpm.colSite, 0),
    _xlpm.rowThroughput, MATCH("Maximum Throughput for Downlink per Site", _xlfn.DROP(_xlpm.colSite, _xlpm.rowRegion), 0),
    IF(INDEX(_xlpm.colauto, _xlpm.rowRegion + _xlpm.rowThroughput)='Model Configurator Sup'!$M$4,VLOOKUP(Q195,'Base Stations Parameters'!$B:$T,4,0),INDEX(_xlpm.colData, _xlpm.rowRegion + _xlpm.rowThroughput))
)</f>
        <v>300</v>
      </c>
      <c r="Y195" s="106">
        <f ca="1">IF($V195&lt;=0,0,T195/(W195*$V195))</f>
        <v>0.25626582278481014</v>
      </c>
      <c r="Z195" s="106">
        <f ca="1">IF($V195&lt;=0,0,U195/(X195*$V195))</f>
        <v>2.9160339996835302E-2</v>
      </c>
      <c r="AA195" s="130">
        <f>VLOOKUP(Q195,'Base Stations Parameters'!$B:$S,3,0)</f>
        <v>0</v>
      </c>
      <c r="AB195">
        <f ca="1">ROUNDUP(MAX(T195/W195-V195,U195/X195-V195,0),0)</f>
        <v>0</v>
      </c>
      <c r="AC195" s="130">
        <f ca="1">AB195*AA195</f>
        <v>0</v>
      </c>
      <c r="AF195" s="69" t="s">
        <v>174</v>
      </c>
      <c r="AH195" s="125">
        <v>2.5000000000000001E-2</v>
      </c>
      <c r="AI195" s="123">
        <f ca="1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)*AH195,0)</f>
        <v>6852</v>
      </c>
      <c r="AJ195" s="122">
        <f ca="1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)*AH195</f>
        <v>1468.5239744349165</v>
      </c>
      <c r="AK195" s="105">
        <f>INDEX('Sites per Region'!$A:$BD, MATCH(AF195,'Sites per Region'!$B:$B,0), MATCH(AG$180,'Sites per Region'!$8:$8, 0))</f>
        <v>39.5</v>
      </c>
      <c r="AL195" s="105">
        <f>_xlfn.LET(
_xlpm.data,'Base Stations Profiles'!$B:$AI,
_xlpm.colSite,INDEX(_xlpm.data,,1),
_xlpm.colData,INDEX(_xlpm.data,,2),
_xlpm.rowRegion,MATCH(AF195,_xlpm.colSite,0),
_xlpm.rowUser,MATCH("Maximum Simultaneously Active Users per Site",_xlfn.DROP(_xlpm.colSite,_xlpm.rowRegion),0),
INDEX(_xlpm.colData,_xlpm.rowRegion+_xlpm.rowUser))</f>
        <v>400</v>
      </c>
      <c r="AM195" s="124">
        <f>_xlfn.LET(
    _xlpm.data, 'Base Stations Profiles'!$B:$AJ,
    _xlpm.colSite, INDEX(_xlpm.data,,1),
    _xlpm.colauto, INDEX(_xlpm.data,,3),
    _xlpm.colData, INDEX(_xlpm.data,,2),
    _xlpm.rowRegion, MATCH(AF195, _xlpm.colSite, 0),
    _xlpm.rowThroughput, MATCH("Maximum Throughput for Downlink per Site", _xlfn.DROP(_xlpm.colSite, _xlpm.rowRegion), 0),
    IF(INDEX(_xlpm.colauto, _xlpm.rowRegion + _xlpm.rowThroughput)='Model Configurator Sup'!$M$4,VLOOKUP(AF195,'Base Stations Parameters'!$B:$AI,4,0),INDEX(_xlpm.colData, _xlpm.rowRegion + _xlpm.rowThroughput))
)</f>
        <v>300</v>
      </c>
      <c r="AN195" s="106">
        <f ca="1">IF($AK195&lt;=0,0,AI195/(AL195*$AK195))</f>
        <v>0.43367088607594939</v>
      </c>
      <c r="AO195" s="106">
        <f ca="1">IF($AK195&lt;=0,0,AJ195/(AM195*$AK195))</f>
        <v>0.12392607379197607</v>
      </c>
      <c r="AP195" s="130">
        <f>VLOOKUP(AF195,'Base Stations Parameters'!$B:$AH,3,0)</f>
        <v>0</v>
      </c>
      <c r="AQ195">
        <f ca="1">ROUNDUP(MAX(AI195/AL195-AK195,AJ195/AM195-AK195,0),0)</f>
        <v>0</v>
      </c>
      <c r="AR195" s="130">
        <f ca="1">AQ195*AP195</f>
        <v>0</v>
      </c>
    </row>
    <row r="196" spans="2:44" ht="15" customHeight="1" x14ac:dyDescent="0.25">
      <c r="B196" s="116" t="s">
        <v>182</v>
      </c>
      <c r="D196" s="126">
        <f>SUM(D184:D195)</f>
        <v>1</v>
      </c>
      <c r="E196" s="127">
        <f ca="1">SUM(E184:E195)</f>
        <v>134840</v>
      </c>
      <c r="F196" s="128">
        <f ca="1">SUM(F184:F195)</f>
        <v>40909.334887474637</v>
      </c>
      <c r="H196" s="113"/>
      <c r="I196" s="115"/>
      <c r="L196" s="115"/>
      <c r="M196" s="129">
        <f ca="1">SUM(M184:M195)</f>
        <v>0</v>
      </c>
      <c r="N196" s="131">
        <f ca="1">SUM(N184:N195)</f>
        <v>0</v>
      </c>
      <c r="Q196" s="116" t="s">
        <v>182</v>
      </c>
      <c r="S196" s="126">
        <f>SUM(S184:S195)</f>
        <v>1</v>
      </c>
      <c r="T196" s="127">
        <f ca="1">SUM(T184:T195)</f>
        <v>161978</v>
      </c>
      <c r="U196" s="128">
        <f ca="1">SUM(U184:U195)</f>
        <v>13822.00115849993</v>
      </c>
      <c r="W196" s="113"/>
      <c r="X196" s="115"/>
      <c r="AA196" s="115"/>
      <c r="AB196" s="129">
        <f ca="1">SUM(AB184:AB195)</f>
        <v>0</v>
      </c>
      <c r="AC196" s="131">
        <f ca="1">SUM(AC184:AC195)</f>
        <v>0</v>
      </c>
      <c r="AF196" s="116" t="s">
        <v>182</v>
      </c>
      <c r="AH196" s="126">
        <f>SUM(AH184:AH195)</f>
        <v>1</v>
      </c>
      <c r="AI196" s="127">
        <f ca="1">SUM(AI184:AI195)</f>
        <v>274080</v>
      </c>
      <c r="AJ196" s="128">
        <f ca="1">SUM(AJ184:AJ195)</f>
        <v>58740.958977396651</v>
      </c>
      <c r="AL196" s="113"/>
      <c r="AM196" s="115"/>
      <c r="AP196" s="115"/>
      <c r="AQ196" s="129">
        <f ca="1">SUM(AQ184:AQ195)</f>
        <v>4</v>
      </c>
      <c r="AR196" s="131">
        <f ca="1">SUM(AR184:AR195)</f>
        <v>490000</v>
      </c>
    </row>
  </sheetData>
  <mergeCells count="210">
    <mergeCell ref="AI163:AJ163"/>
    <mergeCell ref="AK163:AK164"/>
    <mergeCell ref="AL163:AM163"/>
    <mergeCell ref="AN163:AO163"/>
    <mergeCell ref="AP163:AR163"/>
    <mergeCell ref="AF182:AF183"/>
    <mergeCell ref="AH182:AH183"/>
    <mergeCell ref="AI182:AJ182"/>
    <mergeCell ref="AK182:AK183"/>
    <mergeCell ref="AL182:AM182"/>
    <mergeCell ref="AN182:AO182"/>
    <mergeCell ref="AP182:AR182"/>
    <mergeCell ref="AH125:AH126"/>
    <mergeCell ref="AI125:AJ125"/>
    <mergeCell ref="AK125:AK126"/>
    <mergeCell ref="AL125:AM125"/>
    <mergeCell ref="AN125:AO125"/>
    <mergeCell ref="AP125:AR125"/>
    <mergeCell ref="AF144:AF145"/>
    <mergeCell ref="AH144:AH145"/>
    <mergeCell ref="AI144:AJ144"/>
    <mergeCell ref="AK144:AK145"/>
    <mergeCell ref="AL144:AM144"/>
    <mergeCell ref="AN144:AO144"/>
    <mergeCell ref="AP144:AR144"/>
    <mergeCell ref="AF87:AF88"/>
    <mergeCell ref="AH87:AH88"/>
    <mergeCell ref="AI87:AJ87"/>
    <mergeCell ref="AK87:AK88"/>
    <mergeCell ref="AL87:AM87"/>
    <mergeCell ref="AN87:AO87"/>
    <mergeCell ref="AP87:AR87"/>
    <mergeCell ref="AK30:AK31"/>
    <mergeCell ref="AL30:AM30"/>
    <mergeCell ref="AN30:AO30"/>
    <mergeCell ref="AP68:AR68"/>
    <mergeCell ref="Q182:Q183"/>
    <mergeCell ref="S182:S183"/>
    <mergeCell ref="T182:U182"/>
    <mergeCell ref="V182:V183"/>
    <mergeCell ref="W182:X182"/>
    <mergeCell ref="Y182:Z182"/>
    <mergeCell ref="AA182:AC182"/>
    <mergeCell ref="AF30:AF31"/>
    <mergeCell ref="AH30:AH31"/>
    <mergeCell ref="AF106:AF107"/>
    <mergeCell ref="AH106:AH107"/>
    <mergeCell ref="AF163:AF164"/>
    <mergeCell ref="AH163:AH164"/>
    <mergeCell ref="Q144:Q145"/>
    <mergeCell ref="S144:S145"/>
    <mergeCell ref="T144:U144"/>
    <mergeCell ref="V144:V145"/>
    <mergeCell ref="W144:X144"/>
    <mergeCell ref="Y144:Z144"/>
    <mergeCell ref="AA144:AC144"/>
    <mergeCell ref="Q163:Q164"/>
    <mergeCell ref="S163:S164"/>
    <mergeCell ref="T163:U163"/>
    <mergeCell ref="V163:V164"/>
    <mergeCell ref="W163:X163"/>
    <mergeCell ref="Y163:Z163"/>
    <mergeCell ref="AA163:AC163"/>
    <mergeCell ref="V106:V107"/>
    <mergeCell ref="W106:X106"/>
    <mergeCell ref="Y106:Z106"/>
    <mergeCell ref="AA106:AC106"/>
    <mergeCell ref="Q125:Q126"/>
    <mergeCell ref="S125:S126"/>
    <mergeCell ref="T125:U125"/>
    <mergeCell ref="V125:V126"/>
    <mergeCell ref="W125:X125"/>
    <mergeCell ref="Y125:Z125"/>
    <mergeCell ref="AA125:AC125"/>
    <mergeCell ref="B163:B164"/>
    <mergeCell ref="D163:D164"/>
    <mergeCell ref="E163:F163"/>
    <mergeCell ref="G163:G164"/>
    <mergeCell ref="H163:I163"/>
    <mergeCell ref="J163:K163"/>
    <mergeCell ref="L163:N163"/>
    <mergeCell ref="B182:B183"/>
    <mergeCell ref="D182:D183"/>
    <mergeCell ref="E182:F182"/>
    <mergeCell ref="G182:G183"/>
    <mergeCell ref="H182:I182"/>
    <mergeCell ref="J182:K182"/>
    <mergeCell ref="L182:N182"/>
    <mergeCell ref="J49:K49"/>
    <mergeCell ref="L49:N49"/>
    <mergeCell ref="AN11:AO11"/>
    <mergeCell ref="W87:X87"/>
    <mergeCell ref="Y87:Z87"/>
    <mergeCell ref="AA87:AC87"/>
    <mergeCell ref="Q68:Q69"/>
    <mergeCell ref="S68:S69"/>
    <mergeCell ref="T68:U68"/>
    <mergeCell ref="V68:V69"/>
    <mergeCell ref="W68:X68"/>
    <mergeCell ref="Y68:Z68"/>
    <mergeCell ref="AA68:AC68"/>
    <mergeCell ref="Q11:Q12"/>
    <mergeCell ref="S11:S12"/>
    <mergeCell ref="T11:U11"/>
    <mergeCell ref="V11:V12"/>
    <mergeCell ref="Y11:Z11"/>
    <mergeCell ref="V87:V88"/>
    <mergeCell ref="AL11:AM11"/>
    <mergeCell ref="W11:X11"/>
    <mergeCell ref="Q49:Q50"/>
    <mergeCell ref="S49:S50"/>
    <mergeCell ref="T49:U49"/>
    <mergeCell ref="H106:I106"/>
    <mergeCell ref="J106:K106"/>
    <mergeCell ref="L106:N106"/>
    <mergeCell ref="B106:B107"/>
    <mergeCell ref="D106:D107"/>
    <mergeCell ref="E106:F106"/>
    <mergeCell ref="Q106:Q107"/>
    <mergeCell ref="S106:S107"/>
    <mergeCell ref="T106:U106"/>
    <mergeCell ref="AP106:AR106"/>
    <mergeCell ref="AK106:AK107"/>
    <mergeCell ref="AL106:AM106"/>
    <mergeCell ref="AN106:AO106"/>
    <mergeCell ref="AI11:AJ11"/>
    <mergeCell ref="AI30:AJ30"/>
    <mergeCell ref="AP11:AR11"/>
    <mergeCell ref="AH11:AH12"/>
    <mergeCell ref="AK11:AK12"/>
    <mergeCell ref="AI106:AJ106"/>
    <mergeCell ref="AP30:AR30"/>
    <mergeCell ref="AH49:AH50"/>
    <mergeCell ref="AI49:AJ49"/>
    <mergeCell ref="AK49:AK50"/>
    <mergeCell ref="AL49:AM49"/>
    <mergeCell ref="AN49:AO49"/>
    <mergeCell ref="AP49:AR49"/>
    <mergeCell ref="AH68:AH69"/>
    <mergeCell ref="AI68:AJ68"/>
    <mergeCell ref="AK68:AK69"/>
    <mergeCell ref="AL68:AM68"/>
    <mergeCell ref="AN68:AO68"/>
    <mergeCell ref="B11:B12"/>
    <mergeCell ref="D11:D12"/>
    <mergeCell ref="E11:F11"/>
    <mergeCell ref="G11:G12"/>
    <mergeCell ref="H11:I11"/>
    <mergeCell ref="J11:K11"/>
    <mergeCell ref="E68:F68"/>
    <mergeCell ref="B30:B31"/>
    <mergeCell ref="D30:D31"/>
    <mergeCell ref="E30:F30"/>
    <mergeCell ref="G30:G31"/>
    <mergeCell ref="H30:I30"/>
    <mergeCell ref="J30:K30"/>
    <mergeCell ref="L30:N30"/>
    <mergeCell ref="B49:B50"/>
    <mergeCell ref="D49:D50"/>
    <mergeCell ref="E49:F49"/>
    <mergeCell ref="G49:G50"/>
    <mergeCell ref="H49:I49"/>
    <mergeCell ref="B144:B145"/>
    <mergeCell ref="D144:D145"/>
    <mergeCell ref="E144:F144"/>
    <mergeCell ref="G144:G145"/>
    <mergeCell ref="H144:I144"/>
    <mergeCell ref="J144:K144"/>
    <mergeCell ref="B68:B69"/>
    <mergeCell ref="D68:D69"/>
    <mergeCell ref="G68:G69"/>
    <mergeCell ref="H68:I68"/>
    <mergeCell ref="J68:K68"/>
    <mergeCell ref="B125:B126"/>
    <mergeCell ref="D125:D126"/>
    <mergeCell ref="E125:F125"/>
    <mergeCell ref="G125:G126"/>
    <mergeCell ref="H125:I125"/>
    <mergeCell ref="J125:K125"/>
    <mergeCell ref="B87:B88"/>
    <mergeCell ref="D87:D88"/>
    <mergeCell ref="E87:F87"/>
    <mergeCell ref="G87:G88"/>
    <mergeCell ref="H87:I87"/>
    <mergeCell ref="J87:K87"/>
    <mergeCell ref="G106:G107"/>
    <mergeCell ref="L144:N144"/>
    <mergeCell ref="Q30:Q31"/>
    <mergeCell ref="S30:S31"/>
    <mergeCell ref="T30:U30"/>
    <mergeCell ref="V30:V31"/>
    <mergeCell ref="W30:X30"/>
    <mergeCell ref="Y30:Z30"/>
    <mergeCell ref="AA30:AC30"/>
    <mergeCell ref="AF11:AF12"/>
    <mergeCell ref="AA11:AC11"/>
    <mergeCell ref="L68:N68"/>
    <mergeCell ref="L11:N11"/>
    <mergeCell ref="L125:N125"/>
    <mergeCell ref="AF125:AF126"/>
    <mergeCell ref="Y49:Z49"/>
    <mergeCell ref="AA49:AC49"/>
    <mergeCell ref="AF68:AF69"/>
    <mergeCell ref="L87:N87"/>
    <mergeCell ref="Q87:Q88"/>
    <mergeCell ref="S87:S88"/>
    <mergeCell ref="T87:U87"/>
    <mergeCell ref="V49:V50"/>
    <mergeCell ref="W49:X49"/>
    <mergeCell ref="AF49:AF50"/>
  </mergeCells>
  <conditionalFormatting sqref="C4">
    <cfRule type="containsText" dxfId="33" priority="211" operator="containsText" text="NOT OK">
      <formula>NOT(ISERROR(SEARCH("NOT OK",C4)))</formula>
    </cfRule>
    <cfRule type="containsText" dxfId="32" priority="212" operator="containsText" text="OK">
      <formula>NOT(ISERROR(SEARCH("OK",C4)))</formula>
    </cfRule>
  </conditionalFormatting>
  <conditionalFormatting sqref="F5:G5">
    <cfRule type="containsText" dxfId="31" priority="213" operator="containsText" text="NOT OK">
      <formula>NOT(ISERROR(SEARCH("NOT OK",F5)))</formula>
    </cfRule>
    <cfRule type="containsText" dxfId="30" priority="21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2C28-00F8-4A5E-980F-0EB4126FC29D}">
  <sheetPr codeName="Sheet10">
    <tabColor theme="7" tint="0.39997558519241921"/>
  </sheetPr>
  <dimension ref="A1:AF6"/>
  <sheetViews>
    <sheetView zoomScale="130" zoomScaleNormal="130" workbookViewId="0">
      <selection activeCell="B8" sqref="B8"/>
    </sheetView>
  </sheetViews>
  <sheetFormatPr defaultRowHeight="15" x14ac:dyDescent="0.25"/>
  <sheetData>
    <row r="1" spans="1:32" s="20" customFormat="1" ht="18" x14ac:dyDescent="0.25">
      <c r="A1" s="37" t="s">
        <v>130</v>
      </c>
      <c r="J1" s="21"/>
    </row>
    <row r="2" spans="1:32" s="23" customFormat="1" ht="11.25" x14ac:dyDescent="0.2">
      <c r="A2" s="22" t="s">
        <v>131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132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</sheetData>
  <conditionalFormatting sqref="C4">
    <cfRule type="containsText" dxfId="29" priority="1" operator="containsText" text="NOT OK">
      <formula>NOT(ISERROR(SEARCH("NOT OK",C4)))</formula>
    </cfRule>
    <cfRule type="containsText" dxfId="28" priority="2" operator="containsText" text="OK">
      <formula>NOT(ISERROR(SEARCH("OK",C4)))</formula>
    </cfRule>
  </conditionalFormatting>
  <conditionalFormatting sqref="F5:G5">
    <cfRule type="containsText" dxfId="27" priority="3" operator="containsText" text="NOT OK">
      <formula>NOT(ISERROR(SEARCH("NOT OK",F5)))</formula>
    </cfRule>
    <cfRule type="containsText" dxfId="26" priority="4" operator="containsText" text="OK">
      <formula>NOT(ISERROR(SEARCH("OK",F5)))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</vt:i4>
      </vt:variant>
    </vt:vector>
  </HeadingPairs>
  <TitlesOfParts>
    <vt:vector size="42" baseType="lpstr">
      <vt:lpstr>Cover</vt:lpstr>
      <vt:lpstr>User Guide</vt:lpstr>
      <vt:lpstr>Configurator &gt;&gt;</vt:lpstr>
      <vt:lpstr>Model Configurator</vt:lpstr>
      <vt:lpstr>Model Configurator Sup</vt:lpstr>
      <vt:lpstr>Inputs 1 &gt;&gt;</vt:lpstr>
      <vt:lpstr>Study Years</vt:lpstr>
      <vt:lpstr>Regions</vt:lpstr>
      <vt:lpstr>Verticals_Sectors</vt:lpstr>
      <vt:lpstr>Network Parameters</vt:lpstr>
      <vt:lpstr>Base Stations Sites</vt:lpstr>
      <vt:lpstr>Inputs 2 &gt;&gt;</vt:lpstr>
      <vt:lpstr>Base Stations Profiles</vt:lpstr>
      <vt:lpstr>Throughput Formulas</vt:lpstr>
      <vt:lpstr>Base Stations Parameters</vt:lpstr>
      <vt:lpstr>Sites per Region</vt:lpstr>
      <vt:lpstr>Inputs 3 &gt;&gt;</vt:lpstr>
      <vt:lpstr>Troughput</vt:lpstr>
      <vt:lpstr>Inputs 4 &gt;&gt;</vt:lpstr>
      <vt:lpstr>Output Formulas</vt:lpstr>
      <vt:lpstr>Outputs &gt;&gt;</vt:lpstr>
      <vt:lpstr>Model Output</vt:lpstr>
      <vt:lpstr>Cost </vt:lpstr>
      <vt:lpstr>'Inputs 3 &gt;&gt;'!Auto_or_Manual</vt:lpstr>
      <vt:lpstr>'Inputs 4 &gt;&gt;'!Auto_or_Manual</vt:lpstr>
      <vt:lpstr>Auto_or_Manual</vt:lpstr>
      <vt:lpstr>'Inputs 2 &gt;&gt;'!Checkbox</vt:lpstr>
      <vt:lpstr>'Inputs 3 &gt;&gt;'!Checkbox</vt:lpstr>
      <vt:lpstr>'Inputs 4 &gt;&gt;'!Checkbox</vt:lpstr>
      <vt:lpstr>Checkbox</vt:lpstr>
      <vt:lpstr>'Inputs 2 &gt;&gt;'!ClearDataOptions</vt:lpstr>
      <vt:lpstr>'Inputs 3 &gt;&gt;'!ClearDataOptions</vt:lpstr>
      <vt:lpstr>'Inputs 4 &gt;&gt;'!ClearDataOptions</vt:lpstr>
      <vt:lpstr>ClearDataOptions</vt:lpstr>
      <vt:lpstr>'Inputs 2 &gt;&gt;'!InstrTypes</vt:lpstr>
      <vt:lpstr>'Inputs 3 &gt;&gt;'!InstrTypes</vt:lpstr>
      <vt:lpstr>'Inputs 4 &gt;&gt;'!InstrTypes</vt:lpstr>
      <vt:lpstr>InstrTypes</vt:lpstr>
      <vt:lpstr>'Inputs 2 &gt;&gt;'!SheetList</vt:lpstr>
      <vt:lpstr>'Inputs 3 &gt;&gt;'!SheetList</vt:lpstr>
      <vt:lpstr>'Inputs 4 &gt;&gt;'!SheetList</vt:lpstr>
      <vt:lpstr>SheetList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Alexandre</dc:creator>
  <cp:lastModifiedBy>Pedro Miguel Alexandre</cp:lastModifiedBy>
  <dcterms:created xsi:type="dcterms:W3CDTF">2025-03-18T18:46:31Z</dcterms:created>
  <dcterms:modified xsi:type="dcterms:W3CDTF">2026-01-12T20:35:39Z</dcterms:modified>
</cp:coreProperties>
</file>